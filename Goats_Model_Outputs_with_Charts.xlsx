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/>
  <mc:AlternateContent xmlns:mc="http://schemas.openxmlformats.org/markup-compatibility/2006">
    <mc:Choice Requires="x15">
      <x15ac:absPath xmlns:x15ac="http://schemas.microsoft.com/office/spreadsheetml/2010/11/ac" url="/Users/mariaogamba/Desktop/iLabAfrica/SAFIC/KLMP/GoatsModel/"/>
    </mc:Choice>
  </mc:AlternateContent>
  <xr:revisionPtr revIDLastSave="0" documentId="13_ncr:1_{F289FA37-5DCD-1742-A16A-01031294E306}" xr6:coauthVersionLast="47" xr6:coauthVersionMax="47" xr10:uidLastSave="{00000000-0000-0000-0000-000000000000}"/>
  <bookViews>
    <workbookView xWindow="0" yWindow="700" windowWidth="34200" windowHeight="19780" activeTab="5" xr2:uid="{00000000-000D-0000-FFFF-FFFF00000000}"/>
  </bookViews>
  <sheets>
    <sheet name="Historical_Yearly" sheetId="1" r:id="rId1"/>
    <sheet name="Forecast_Quarterly" sheetId="2" r:id="rId2"/>
    <sheet name="Pivot Table 2" sheetId="3" r:id="rId3"/>
    <sheet name="Pivot Table 1" sheetId="4" r:id="rId4"/>
    <sheet name="Sheet1" sheetId="5" r:id="rId5"/>
    <sheet name="Pivot Table 1 (2)" sheetId="6" r:id="rId6"/>
  </sheets>
  <calcPr calcId="191029"/>
  <pivotCaches>
    <pivotCache cacheId="59" r:id="rId7"/>
    <pivotCache cacheId="6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<sst xmlns="http://schemas.openxmlformats.org/spreadsheetml/2006/main" count="64" uniqueCount="44">
  <si>
    <t>year</t>
  </si>
  <si>
    <t>kids</t>
  </si>
  <si>
    <t>weaners</t>
  </si>
  <si>
    <t>growers</t>
  </si>
  <si>
    <t>does</t>
  </si>
  <si>
    <t>bucks</t>
  </si>
  <si>
    <t>quarter</t>
  </si>
  <si>
    <t>feed_intake</t>
  </si>
  <si>
    <t>SUM of meat_production</t>
  </si>
  <si>
    <t>SUM of milk_production</t>
  </si>
  <si>
    <t>SUM of feed_intake</t>
  </si>
  <si>
    <t>Grand Total</t>
  </si>
  <si>
    <t>2025 Q4</t>
  </si>
  <si>
    <t>2026 Q4</t>
  </si>
  <si>
    <t>2027 Q4</t>
  </si>
  <si>
    <t>2028 Q4</t>
  </si>
  <si>
    <t>2029 Q4</t>
  </si>
  <si>
    <t>2030 Q4</t>
  </si>
  <si>
    <t>2031 Q4</t>
  </si>
  <si>
    <t>2032 Q4</t>
  </si>
  <si>
    <t>2033 Q4</t>
  </si>
  <si>
    <t>2034 Q4</t>
  </si>
  <si>
    <t>Year</t>
  </si>
  <si>
    <t>Year_Quarter</t>
  </si>
  <si>
    <t/>
  </si>
  <si>
    <t>Historical</t>
  </si>
  <si>
    <t>Forecasted</t>
  </si>
  <si>
    <t>Pop</t>
  </si>
  <si>
    <t>Milk</t>
  </si>
  <si>
    <t>Meat</t>
  </si>
  <si>
    <t>Feed</t>
  </si>
  <si>
    <t>Total</t>
  </si>
  <si>
    <t>Kids</t>
  </si>
  <si>
    <t>Weaners</t>
  </si>
  <si>
    <t>Growers</t>
  </si>
  <si>
    <t>Does</t>
  </si>
  <si>
    <t>Bucks</t>
  </si>
  <si>
    <t>Meat_Kg</t>
  </si>
  <si>
    <t>Milk_L</t>
  </si>
  <si>
    <t>Quarter</t>
  </si>
  <si>
    <t>Total_Population</t>
  </si>
  <si>
    <t>Meat_Production</t>
  </si>
  <si>
    <t>Milk_Production</t>
  </si>
  <si>
    <t>Feed_Intake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</si>
</sst>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3" fontId="2" fillId="0" borderId="2" xfId="0" applyNumberFormat="1" applyFont="1" applyBorder="1" applyAlignment="1">
      <alignment horizontal="center" vertical="top"/>
    </xf>
    <xf numFmtId="3" fontId="5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3" xfId="0" pivotButton="1" applyBorder="1"/>
    <xf numFmtId="0" fontId="0" fillId="0" borderId="13" xfId="0" applyBorder="1" applyAlignment="1">
      <alignment horizontal="left"/>
    </xf>
    <xf numFmtId="0" fontId="0" fillId="0" borderId="14" xfId="0" applyBorder="1"/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right"/>
    </xf>
    <xf numFmtId="3" fontId="10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7" fillId="0" borderId="0" xfId="0" applyFont="1"/>
    <xf numFmtId="0" fontId="1" fillId="0" borderId="0" xfId="0" applyFont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Historical</a:t>
            </a:r>
            <a:r>
              <a:rPr lang="en-US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Population (2018-2024)</a:t>
            </a:r>
            <a:endParaRPr lang="en-US" b="1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Historical_Yearly!$C$1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Historical_Yearly!$C$2:$C$8</c:f>
              <c:numCache>
                <c:formatCode>#,##0</c:formatCode>
                <c:ptCount val="7"/>
                <c:pt idx="0">
                  <c:v>4657700</c:v>
                </c:pt>
                <c:pt idx="1">
                  <c:v>6238434</c:v>
                </c:pt>
                <c:pt idx="2">
                  <c:v>6364561</c:v>
                </c:pt>
                <c:pt idx="3">
                  <c:v>5962178</c:v>
                </c:pt>
                <c:pt idx="4">
                  <c:v>5393709</c:v>
                </c:pt>
                <c:pt idx="5">
                  <c:v>6189479</c:v>
                </c:pt>
                <c:pt idx="6" formatCode="General">
                  <c:v>6799793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9-45F4-9DEE-D0257A7C788C}"/>
            </c:ext>
          </c:extLst>
        </c:ser>
        <c:ser>
          <c:idx val="1"/>
          <c:order val="1"/>
          <c:tx>
            <c:strRef>
              <c:f>Historical_Yearly!$D$1</c:f>
              <c:strCache>
                <c:ptCount val="1"/>
                <c:pt idx="0">
                  <c:v>Weaners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Historical_Yearly!$D$2:$D$8</c:f>
              <c:numCache>
                <c:formatCode>#,##0</c:formatCode>
                <c:ptCount val="7"/>
                <c:pt idx="0">
                  <c:v>2587611</c:v>
                </c:pt>
                <c:pt idx="1">
                  <c:v>3465796</c:v>
                </c:pt>
                <c:pt idx="2">
                  <c:v>3535867</c:v>
                </c:pt>
                <c:pt idx="3">
                  <c:v>3312321</c:v>
                </c:pt>
                <c:pt idx="4">
                  <c:v>2996505</c:v>
                </c:pt>
                <c:pt idx="5">
                  <c:v>3438599</c:v>
                </c:pt>
                <c:pt idx="6" formatCode="General">
                  <c:v>3777663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E9-45F4-9DEE-D0257A7C788C}"/>
            </c:ext>
          </c:extLst>
        </c:ser>
        <c:ser>
          <c:idx val="2"/>
          <c:order val="2"/>
          <c:tx>
            <c:strRef>
              <c:f>Historical_Yearly!$E$1</c:f>
              <c:strCache>
                <c:ptCount val="1"/>
                <c:pt idx="0">
                  <c:v>Growers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Historical_Yearly!$E$2:$E$8</c:f>
              <c:numCache>
                <c:formatCode>#,##0</c:formatCode>
                <c:ptCount val="7"/>
                <c:pt idx="0">
                  <c:v>2587611</c:v>
                </c:pt>
                <c:pt idx="1">
                  <c:v>3465796</c:v>
                </c:pt>
                <c:pt idx="2">
                  <c:v>3535867</c:v>
                </c:pt>
                <c:pt idx="3">
                  <c:v>3312321</c:v>
                </c:pt>
                <c:pt idx="4">
                  <c:v>2996505</c:v>
                </c:pt>
                <c:pt idx="5">
                  <c:v>3438599</c:v>
                </c:pt>
                <c:pt idx="6" formatCode="General">
                  <c:v>3777663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E9-45F4-9DEE-D0257A7C788C}"/>
            </c:ext>
          </c:extLst>
        </c:ser>
        <c:ser>
          <c:idx val="3"/>
          <c:order val="3"/>
          <c:tx>
            <c:strRef>
              <c:f>Historical_Yearly!$F$1</c:f>
              <c:strCache>
                <c:ptCount val="1"/>
                <c:pt idx="0">
                  <c:v>Does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Historical_Yearly!$F$2:$F$8</c:f>
              <c:numCache>
                <c:formatCode>#,##0</c:formatCode>
                <c:ptCount val="7"/>
                <c:pt idx="0">
                  <c:v>14490623</c:v>
                </c:pt>
                <c:pt idx="1">
                  <c:v>19408462</c:v>
                </c:pt>
                <c:pt idx="2">
                  <c:v>19800857</c:v>
                </c:pt>
                <c:pt idx="3">
                  <c:v>18548999</c:v>
                </c:pt>
                <c:pt idx="4">
                  <c:v>16780430</c:v>
                </c:pt>
                <c:pt idx="5">
                  <c:v>19256158</c:v>
                </c:pt>
                <c:pt idx="6" formatCode="General">
                  <c:v>21154914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E9-45F4-9DEE-D0257A7C788C}"/>
            </c:ext>
          </c:extLst>
        </c:ser>
        <c:ser>
          <c:idx val="4"/>
          <c:order val="4"/>
          <c:tx>
            <c:strRef>
              <c:f>Historical_Yearly!$G$1</c:f>
              <c:strCache>
                <c:ptCount val="1"/>
                <c:pt idx="0">
                  <c:v>Bucks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Historical_Yearly!$G$2:$G$8</c:f>
              <c:numCache>
                <c:formatCode>#,##0</c:formatCode>
                <c:ptCount val="7"/>
                <c:pt idx="0">
                  <c:v>1552566</c:v>
                </c:pt>
                <c:pt idx="1">
                  <c:v>2079478</c:v>
                </c:pt>
                <c:pt idx="2">
                  <c:v>2121520</c:v>
                </c:pt>
                <c:pt idx="3">
                  <c:v>1987392</c:v>
                </c:pt>
                <c:pt idx="4">
                  <c:v>1797903</c:v>
                </c:pt>
                <c:pt idx="5">
                  <c:v>2063159</c:v>
                </c:pt>
                <c:pt idx="6" formatCode="General">
                  <c:v>2266597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E9-45F4-9DEE-D0257A7C7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051392"/>
        <c:axId val="1667879088"/>
      </c:lineChart>
      <c:catAx>
        <c:axId val="158805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667879088"/>
        <c:crosses val="autoZero"/>
        <c:auto val="1"/>
        <c:lblAlgn val="ctr"/>
        <c:lblOffset val="100"/>
        <c:noMultiLvlLbl val="0"/>
      </c:catAx>
      <c:valAx>
        <c:axId val="1667879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Population in</a:t>
                </a:r>
                <a:r>
                  <a:rPr lang="en-US" sz="11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 millions</a:t>
                </a:r>
                <a:endParaRPr lang="en-US" sz="110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588051392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GB" b="0">
                <a:solidFill>
                  <a:srgbClr val="000000"/>
                </a:solidFill>
                <a:latin typeface="+mn-lt"/>
              </a:rPr>
              <a:t>Forecasted Population (2025-2034)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Forecast_Quarterly!$D$1</c:f>
              <c:strCache>
                <c:ptCount val="1"/>
                <c:pt idx="0">
                  <c:v>Kids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Forecast_Quarterly!$C$2:$C$41</c:f>
              <c:strCache>
                <c:ptCount val="40"/>
                <c:pt idx="0">
                  <c:v>2025 Q1</c:v>
                </c:pt>
                <c:pt idx="1">
                  <c:v>2025 Q2</c:v>
                </c:pt>
                <c:pt idx="2">
                  <c:v>2025 Q3</c:v>
                </c:pt>
                <c:pt idx="3">
                  <c:v>2025 Q4</c:v>
                </c:pt>
                <c:pt idx="4">
                  <c:v>2026 Q1</c:v>
                </c:pt>
                <c:pt idx="5">
                  <c:v>2026 Q2</c:v>
                </c:pt>
                <c:pt idx="6">
                  <c:v>2026 Q3</c:v>
                </c:pt>
                <c:pt idx="7">
                  <c:v>2026 Q4</c:v>
                </c:pt>
                <c:pt idx="8">
                  <c:v>2027 Q1</c:v>
                </c:pt>
                <c:pt idx="9">
                  <c:v>2027 Q2</c:v>
                </c:pt>
                <c:pt idx="10">
                  <c:v>2027 Q3</c:v>
                </c:pt>
                <c:pt idx="11">
                  <c:v>2027 Q4</c:v>
                </c:pt>
                <c:pt idx="12">
                  <c:v>2028 Q1</c:v>
                </c:pt>
                <c:pt idx="13">
                  <c:v>2028 Q2</c:v>
                </c:pt>
                <c:pt idx="14">
                  <c:v>2028 Q3</c:v>
                </c:pt>
                <c:pt idx="15">
                  <c:v>2028 Q4</c:v>
                </c:pt>
                <c:pt idx="16">
                  <c:v>2029 Q1</c:v>
                </c:pt>
                <c:pt idx="17">
                  <c:v>2029 Q2</c:v>
                </c:pt>
                <c:pt idx="18">
                  <c:v>2029 Q3</c:v>
                </c:pt>
                <c:pt idx="19">
                  <c:v>2029 Q4</c:v>
                </c:pt>
                <c:pt idx="20">
                  <c:v>2030 Q1</c:v>
                </c:pt>
                <c:pt idx="21">
                  <c:v>2030 Q2</c:v>
                </c:pt>
                <c:pt idx="22">
                  <c:v>2030 Q3</c:v>
                </c:pt>
                <c:pt idx="23">
                  <c:v>2030 Q4</c:v>
                </c:pt>
                <c:pt idx="24">
                  <c:v>2031 Q1</c:v>
                </c:pt>
                <c:pt idx="25">
                  <c:v>2031 Q2</c:v>
                </c:pt>
                <c:pt idx="26">
                  <c:v>2031 Q3</c:v>
                </c:pt>
                <c:pt idx="27">
                  <c:v>2031 Q4</c:v>
                </c:pt>
                <c:pt idx="28">
                  <c:v>2032 Q1</c:v>
                </c:pt>
                <c:pt idx="29">
                  <c:v>2032 Q2</c:v>
                </c:pt>
                <c:pt idx="30">
                  <c:v>2032 Q3</c:v>
                </c:pt>
                <c:pt idx="31">
                  <c:v>2032 Q4</c:v>
                </c:pt>
                <c:pt idx="32">
                  <c:v>2033 Q1</c:v>
                </c:pt>
                <c:pt idx="33">
                  <c:v>2033 Q2</c:v>
                </c:pt>
                <c:pt idx="34">
                  <c:v>2033 Q3</c:v>
                </c:pt>
                <c:pt idx="35">
                  <c:v>2033 Q4</c:v>
                </c:pt>
                <c:pt idx="36">
                  <c:v>2034 Q1</c:v>
                </c:pt>
                <c:pt idx="37">
                  <c:v>2034 Q2</c:v>
                </c:pt>
                <c:pt idx="38">
                  <c:v>2034 Q3</c:v>
                </c:pt>
                <c:pt idx="39">
                  <c:v>2034 Q4</c:v>
                </c:pt>
              </c:strCache>
            </c:strRef>
          </c:cat>
          <c:val>
            <c:numRef>
              <c:f>Forecast_Quarterly!$D$2:$D$41</c:f>
              <c:numCache>
                <c:formatCode>#,##0</c:formatCode>
                <c:ptCount val="40"/>
                <c:pt idx="0">
                  <c:v>7504611</c:v>
                </c:pt>
                <c:pt idx="1">
                  <c:v>8006608</c:v>
                </c:pt>
                <c:pt idx="2">
                  <c:v>7483396</c:v>
                </c:pt>
                <c:pt idx="3">
                  <c:v>7732511</c:v>
                </c:pt>
                <c:pt idx="4">
                  <c:v>7513152</c:v>
                </c:pt>
                <c:pt idx="5">
                  <c:v>7799491</c:v>
                </c:pt>
                <c:pt idx="6">
                  <c:v>7309595</c:v>
                </c:pt>
                <c:pt idx="7">
                  <c:v>7632521</c:v>
                </c:pt>
                <c:pt idx="8">
                  <c:v>7473537</c:v>
                </c:pt>
                <c:pt idx="9">
                  <c:v>7809902</c:v>
                </c:pt>
                <c:pt idx="10">
                  <c:v>7337935</c:v>
                </c:pt>
                <c:pt idx="11">
                  <c:v>7675394</c:v>
                </c:pt>
                <c:pt idx="12">
                  <c:v>7512735</c:v>
                </c:pt>
                <c:pt idx="13">
                  <c:v>7851828</c:v>
                </c:pt>
                <c:pt idx="14">
                  <c:v>7370223</c:v>
                </c:pt>
                <c:pt idx="15">
                  <c:v>7705351</c:v>
                </c:pt>
                <c:pt idx="16">
                  <c:v>7533177</c:v>
                </c:pt>
                <c:pt idx="17">
                  <c:v>7871489</c:v>
                </c:pt>
                <c:pt idx="18">
                  <c:v>7382611</c:v>
                </c:pt>
                <c:pt idx="19">
                  <c:v>7716020</c:v>
                </c:pt>
                <c:pt idx="20">
                  <c:v>7537430</c:v>
                </c:pt>
                <c:pt idx="21">
                  <c:v>7876045</c:v>
                </c:pt>
                <c:pt idx="22">
                  <c:v>7383093</c:v>
                </c:pt>
                <c:pt idx="23">
                  <c:v>7715890</c:v>
                </c:pt>
                <c:pt idx="24">
                  <c:v>7533240</c:v>
                </c:pt>
                <c:pt idx="25">
                  <c:v>7872783</c:v>
                </c:pt>
                <c:pt idx="26">
                  <c:v>7377714</c:v>
                </c:pt>
                <c:pt idx="27">
                  <c:v>7710509</c:v>
                </c:pt>
                <c:pt idx="28">
                  <c:v>7525309</c:v>
                </c:pt>
                <c:pt idx="29">
                  <c:v>7866012</c:v>
                </c:pt>
                <c:pt idx="30">
                  <c:v>7369971</c:v>
                </c:pt>
                <c:pt idx="31">
                  <c:v>7703070</c:v>
                </c:pt>
                <c:pt idx="32">
                  <c:v>7516280</c:v>
                </c:pt>
                <c:pt idx="33">
                  <c:v>7858164</c:v>
                </c:pt>
                <c:pt idx="34">
                  <c:v>7361792</c:v>
                </c:pt>
                <c:pt idx="35">
                  <c:v>7695318</c:v>
                </c:pt>
                <c:pt idx="36">
                  <c:v>7507545</c:v>
                </c:pt>
                <c:pt idx="37">
                  <c:v>7850517</c:v>
                </c:pt>
                <c:pt idx="38">
                  <c:v>7354151</c:v>
                </c:pt>
                <c:pt idx="39">
                  <c:v>7688129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40-4C77-8596-7194704E47D1}"/>
            </c:ext>
          </c:extLst>
        </c:ser>
        <c:ser>
          <c:idx val="1"/>
          <c:order val="1"/>
          <c:tx>
            <c:strRef>
              <c:f>Forecast_Quarterly!$E$1</c:f>
              <c:strCache>
                <c:ptCount val="1"/>
                <c:pt idx="0">
                  <c:v>Weaners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Forecast_Quarterly!$C$2:$C$41</c:f>
              <c:strCache>
                <c:ptCount val="40"/>
                <c:pt idx="0">
                  <c:v>2025 Q1</c:v>
                </c:pt>
                <c:pt idx="1">
                  <c:v>2025 Q2</c:v>
                </c:pt>
                <c:pt idx="2">
                  <c:v>2025 Q3</c:v>
                </c:pt>
                <c:pt idx="3">
                  <c:v>2025 Q4</c:v>
                </c:pt>
                <c:pt idx="4">
                  <c:v>2026 Q1</c:v>
                </c:pt>
                <c:pt idx="5">
                  <c:v>2026 Q2</c:v>
                </c:pt>
                <c:pt idx="6">
                  <c:v>2026 Q3</c:v>
                </c:pt>
                <c:pt idx="7">
                  <c:v>2026 Q4</c:v>
                </c:pt>
                <c:pt idx="8">
                  <c:v>2027 Q1</c:v>
                </c:pt>
                <c:pt idx="9">
                  <c:v>2027 Q2</c:v>
                </c:pt>
                <c:pt idx="10">
                  <c:v>2027 Q3</c:v>
                </c:pt>
                <c:pt idx="11">
                  <c:v>2027 Q4</c:v>
                </c:pt>
                <c:pt idx="12">
                  <c:v>2028 Q1</c:v>
                </c:pt>
                <c:pt idx="13">
                  <c:v>2028 Q2</c:v>
                </c:pt>
                <c:pt idx="14">
                  <c:v>2028 Q3</c:v>
                </c:pt>
                <c:pt idx="15">
                  <c:v>2028 Q4</c:v>
                </c:pt>
                <c:pt idx="16">
                  <c:v>2029 Q1</c:v>
                </c:pt>
                <c:pt idx="17">
                  <c:v>2029 Q2</c:v>
                </c:pt>
                <c:pt idx="18">
                  <c:v>2029 Q3</c:v>
                </c:pt>
                <c:pt idx="19">
                  <c:v>2029 Q4</c:v>
                </c:pt>
                <c:pt idx="20">
                  <c:v>2030 Q1</c:v>
                </c:pt>
                <c:pt idx="21">
                  <c:v>2030 Q2</c:v>
                </c:pt>
                <c:pt idx="22">
                  <c:v>2030 Q3</c:v>
                </c:pt>
                <c:pt idx="23">
                  <c:v>2030 Q4</c:v>
                </c:pt>
                <c:pt idx="24">
                  <c:v>2031 Q1</c:v>
                </c:pt>
                <c:pt idx="25">
                  <c:v>2031 Q2</c:v>
                </c:pt>
                <c:pt idx="26">
                  <c:v>2031 Q3</c:v>
                </c:pt>
                <c:pt idx="27">
                  <c:v>2031 Q4</c:v>
                </c:pt>
                <c:pt idx="28">
                  <c:v>2032 Q1</c:v>
                </c:pt>
                <c:pt idx="29">
                  <c:v>2032 Q2</c:v>
                </c:pt>
                <c:pt idx="30">
                  <c:v>2032 Q3</c:v>
                </c:pt>
                <c:pt idx="31">
                  <c:v>2032 Q4</c:v>
                </c:pt>
                <c:pt idx="32">
                  <c:v>2033 Q1</c:v>
                </c:pt>
                <c:pt idx="33">
                  <c:v>2033 Q2</c:v>
                </c:pt>
                <c:pt idx="34">
                  <c:v>2033 Q3</c:v>
                </c:pt>
                <c:pt idx="35">
                  <c:v>2033 Q4</c:v>
                </c:pt>
                <c:pt idx="36">
                  <c:v>2034 Q1</c:v>
                </c:pt>
                <c:pt idx="37">
                  <c:v>2034 Q2</c:v>
                </c:pt>
                <c:pt idx="38">
                  <c:v>2034 Q3</c:v>
                </c:pt>
                <c:pt idx="39">
                  <c:v>2034 Q4</c:v>
                </c:pt>
              </c:strCache>
            </c:strRef>
          </c:cat>
          <c:val>
            <c:numRef>
              <c:f>Forecast_Quarterly!$E$2:$E$41</c:f>
              <c:numCache>
                <c:formatCode>#,##0</c:formatCode>
                <c:ptCount val="40"/>
                <c:pt idx="0">
                  <c:v>3527715</c:v>
                </c:pt>
                <c:pt idx="1">
                  <c:v>3567649</c:v>
                </c:pt>
                <c:pt idx="2">
                  <c:v>3734878</c:v>
                </c:pt>
                <c:pt idx="3">
                  <c:v>3672947</c:v>
                </c:pt>
                <c:pt idx="4">
                  <c:v>3716936</c:v>
                </c:pt>
                <c:pt idx="5">
                  <c:v>3653536</c:v>
                </c:pt>
                <c:pt idx="6">
                  <c:v>3717085</c:v>
                </c:pt>
                <c:pt idx="7">
                  <c:v>3615425</c:v>
                </c:pt>
                <c:pt idx="8">
                  <c:v>3660196</c:v>
                </c:pt>
                <c:pt idx="9">
                  <c:v>3614066</c:v>
                </c:pt>
                <c:pt idx="10">
                  <c:v>3698171</c:v>
                </c:pt>
                <c:pt idx="11">
                  <c:v>3611195</c:v>
                </c:pt>
                <c:pt idx="12">
                  <c:v>3666402</c:v>
                </c:pt>
                <c:pt idx="13">
                  <c:v>3624670</c:v>
                </c:pt>
                <c:pt idx="14">
                  <c:v>3711433</c:v>
                </c:pt>
                <c:pt idx="15">
                  <c:v>3623490</c:v>
                </c:pt>
                <c:pt idx="16">
                  <c:v>3677607</c:v>
                </c:pt>
                <c:pt idx="17">
                  <c:v>3633184</c:v>
                </c:pt>
                <c:pt idx="18">
                  <c:v>3718488</c:v>
                </c:pt>
                <c:pt idx="19">
                  <c:v>3628216</c:v>
                </c:pt>
                <c:pt idx="20">
                  <c:v>3680778</c:v>
                </c:pt>
                <c:pt idx="21">
                  <c:v>3634232</c:v>
                </c:pt>
                <c:pt idx="22">
                  <c:v>3718596</c:v>
                </c:pt>
                <c:pt idx="23">
                  <c:v>3627026</c:v>
                </c:pt>
                <c:pt idx="24">
                  <c:v>3678791</c:v>
                </c:pt>
                <c:pt idx="25">
                  <c:v>3631066</c:v>
                </c:pt>
                <c:pt idx="26">
                  <c:v>3715073</c:v>
                </c:pt>
                <c:pt idx="27">
                  <c:v>3622945</c:v>
                </c:pt>
                <c:pt idx="28">
                  <c:v>3674416</c:v>
                </c:pt>
                <c:pt idx="29">
                  <c:v>3626104</c:v>
                </c:pt>
                <c:pt idx="30">
                  <c:v>3710085</c:v>
                </c:pt>
                <c:pt idx="31">
                  <c:v>3617817</c:v>
                </c:pt>
                <c:pt idx="32">
                  <c:v>3669268</c:v>
                </c:pt>
                <c:pt idx="33">
                  <c:v>3620712</c:v>
                </c:pt>
                <c:pt idx="34">
                  <c:v>3704835</c:v>
                </c:pt>
                <c:pt idx="35">
                  <c:v>3612644</c:v>
                </c:pt>
                <c:pt idx="36">
                  <c:v>3664212</c:v>
                </c:pt>
                <c:pt idx="37">
                  <c:v>3615601</c:v>
                </c:pt>
                <c:pt idx="38">
                  <c:v>3699935</c:v>
                </c:pt>
                <c:pt idx="39">
                  <c:v>3607918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40-4C77-8596-7194704E47D1}"/>
            </c:ext>
          </c:extLst>
        </c:ser>
        <c:ser>
          <c:idx val="2"/>
          <c:order val="2"/>
          <c:tx>
            <c:strRef>
              <c:f>Forecast_Quarterly!$F$1</c:f>
              <c:strCache>
                <c:ptCount val="1"/>
                <c:pt idx="0">
                  <c:v>Growers</c:v>
                </c:pt>
              </c:strCache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Forecast_Quarterly!$C$2:$C$41</c:f>
              <c:strCache>
                <c:ptCount val="40"/>
                <c:pt idx="0">
                  <c:v>2025 Q1</c:v>
                </c:pt>
                <c:pt idx="1">
                  <c:v>2025 Q2</c:v>
                </c:pt>
                <c:pt idx="2">
                  <c:v>2025 Q3</c:v>
                </c:pt>
                <c:pt idx="3">
                  <c:v>2025 Q4</c:v>
                </c:pt>
                <c:pt idx="4">
                  <c:v>2026 Q1</c:v>
                </c:pt>
                <c:pt idx="5">
                  <c:v>2026 Q2</c:v>
                </c:pt>
                <c:pt idx="6">
                  <c:v>2026 Q3</c:v>
                </c:pt>
                <c:pt idx="7">
                  <c:v>2026 Q4</c:v>
                </c:pt>
                <c:pt idx="8">
                  <c:v>2027 Q1</c:v>
                </c:pt>
                <c:pt idx="9">
                  <c:v>2027 Q2</c:v>
                </c:pt>
                <c:pt idx="10">
                  <c:v>2027 Q3</c:v>
                </c:pt>
                <c:pt idx="11">
                  <c:v>2027 Q4</c:v>
                </c:pt>
                <c:pt idx="12">
                  <c:v>2028 Q1</c:v>
                </c:pt>
                <c:pt idx="13">
                  <c:v>2028 Q2</c:v>
                </c:pt>
                <c:pt idx="14">
                  <c:v>2028 Q3</c:v>
                </c:pt>
                <c:pt idx="15">
                  <c:v>2028 Q4</c:v>
                </c:pt>
                <c:pt idx="16">
                  <c:v>2029 Q1</c:v>
                </c:pt>
                <c:pt idx="17">
                  <c:v>2029 Q2</c:v>
                </c:pt>
                <c:pt idx="18">
                  <c:v>2029 Q3</c:v>
                </c:pt>
                <c:pt idx="19">
                  <c:v>2029 Q4</c:v>
                </c:pt>
                <c:pt idx="20">
                  <c:v>2030 Q1</c:v>
                </c:pt>
                <c:pt idx="21">
                  <c:v>2030 Q2</c:v>
                </c:pt>
                <c:pt idx="22">
                  <c:v>2030 Q3</c:v>
                </c:pt>
                <c:pt idx="23">
                  <c:v>2030 Q4</c:v>
                </c:pt>
                <c:pt idx="24">
                  <c:v>2031 Q1</c:v>
                </c:pt>
                <c:pt idx="25">
                  <c:v>2031 Q2</c:v>
                </c:pt>
                <c:pt idx="26">
                  <c:v>2031 Q3</c:v>
                </c:pt>
                <c:pt idx="27">
                  <c:v>2031 Q4</c:v>
                </c:pt>
                <c:pt idx="28">
                  <c:v>2032 Q1</c:v>
                </c:pt>
                <c:pt idx="29">
                  <c:v>2032 Q2</c:v>
                </c:pt>
                <c:pt idx="30">
                  <c:v>2032 Q3</c:v>
                </c:pt>
                <c:pt idx="31">
                  <c:v>2032 Q4</c:v>
                </c:pt>
                <c:pt idx="32">
                  <c:v>2033 Q1</c:v>
                </c:pt>
                <c:pt idx="33">
                  <c:v>2033 Q2</c:v>
                </c:pt>
                <c:pt idx="34">
                  <c:v>2033 Q3</c:v>
                </c:pt>
                <c:pt idx="35">
                  <c:v>2033 Q4</c:v>
                </c:pt>
                <c:pt idx="36">
                  <c:v>2034 Q1</c:v>
                </c:pt>
                <c:pt idx="37">
                  <c:v>2034 Q2</c:v>
                </c:pt>
                <c:pt idx="38">
                  <c:v>2034 Q3</c:v>
                </c:pt>
                <c:pt idx="39">
                  <c:v>2034 Q4</c:v>
                </c:pt>
              </c:strCache>
            </c:strRef>
          </c:cat>
          <c:val>
            <c:numRef>
              <c:f>Forecast_Quarterly!$F$2:$F$41</c:f>
              <c:numCache>
                <c:formatCode>#,##0</c:formatCode>
                <c:ptCount val="40"/>
                <c:pt idx="0">
                  <c:v>5292374</c:v>
                </c:pt>
                <c:pt idx="1">
                  <c:v>6301874</c:v>
                </c:pt>
                <c:pt idx="2">
                  <c:v>7198855</c:v>
                </c:pt>
                <c:pt idx="3">
                  <c:v>7757407</c:v>
                </c:pt>
                <c:pt idx="4">
                  <c:v>8239083</c:v>
                </c:pt>
                <c:pt idx="5">
                  <c:v>8393017</c:v>
                </c:pt>
                <c:pt idx="6">
                  <c:v>8648762</c:v>
                </c:pt>
                <c:pt idx="7">
                  <c:v>8723345</c:v>
                </c:pt>
                <c:pt idx="8">
                  <c:v>8875735</c:v>
                </c:pt>
                <c:pt idx="9">
                  <c:v>8799884</c:v>
                </c:pt>
                <c:pt idx="10">
                  <c:v>8917908</c:v>
                </c:pt>
                <c:pt idx="11">
                  <c:v>8906166</c:v>
                </c:pt>
                <c:pt idx="12">
                  <c:v>9007635</c:v>
                </c:pt>
                <c:pt idx="13">
                  <c:v>8897061</c:v>
                </c:pt>
                <c:pt idx="14">
                  <c:v>8994443</c:v>
                </c:pt>
                <c:pt idx="15">
                  <c:v>8967337</c:v>
                </c:pt>
                <c:pt idx="16">
                  <c:v>9057821</c:v>
                </c:pt>
                <c:pt idx="17">
                  <c:v>8936744</c:v>
                </c:pt>
                <c:pt idx="18">
                  <c:v>9026366</c:v>
                </c:pt>
                <c:pt idx="19">
                  <c:v>8992047</c:v>
                </c:pt>
                <c:pt idx="20">
                  <c:v>9076588</c:v>
                </c:pt>
                <c:pt idx="21">
                  <c:v>8949498</c:v>
                </c:pt>
                <c:pt idx="22">
                  <c:v>9034498</c:v>
                </c:pt>
                <c:pt idx="23">
                  <c:v>8995996</c:v>
                </c:pt>
                <c:pt idx="24">
                  <c:v>9077105</c:v>
                </c:pt>
                <c:pt idx="25">
                  <c:v>8946766</c:v>
                </c:pt>
                <c:pt idx="26">
                  <c:v>9029278</c:v>
                </c:pt>
                <c:pt idx="27">
                  <c:v>8988675</c:v>
                </c:pt>
                <c:pt idx="28">
                  <c:v>9068078</c:v>
                </c:pt>
                <c:pt idx="29">
                  <c:v>8936296</c:v>
                </c:pt>
                <c:pt idx="30">
                  <c:v>9017706</c:v>
                </c:pt>
                <c:pt idx="31">
                  <c:v>8976295</c:v>
                </c:pt>
                <c:pt idx="32">
                  <c:v>9055053</c:v>
                </c:pt>
                <c:pt idx="33">
                  <c:v>8922888</c:v>
                </c:pt>
                <c:pt idx="34">
                  <c:v>9004004</c:v>
                </c:pt>
                <c:pt idx="35">
                  <c:v>8962512</c:v>
                </c:pt>
                <c:pt idx="36">
                  <c:v>9041217</c:v>
                </c:pt>
                <c:pt idx="37">
                  <c:v>8909231</c:v>
                </c:pt>
                <c:pt idx="38">
                  <c:v>8990483</c:v>
                </c:pt>
                <c:pt idx="39">
                  <c:v>8949278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740-4C77-8596-7194704E47D1}"/>
            </c:ext>
          </c:extLst>
        </c:ser>
        <c:ser>
          <c:idx val="3"/>
          <c:order val="3"/>
          <c:tx>
            <c:strRef>
              <c:f>Forecast_Quarterly!$G$1</c:f>
              <c:strCache>
                <c:ptCount val="1"/>
                <c:pt idx="0">
                  <c:v>Does</c:v>
                </c:pt>
              </c:strCache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Forecast_Quarterly!$C$2:$C$41</c:f>
              <c:strCache>
                <c:ptCount val="40"/>
                <c:pt idx="0">
                  <c:v>2025 Q1</c:v>
                </c:pt>
                <c:pt idx="1">
                  <c:v>2025 Q2</c:v>
                </c:pt>
                <c:pt idx="2">
                  <c:v>2025 Q3</c:v>
                </c:pt>
                <c:pt idx="3">
                  <c:v>2025 Q4</c:v>
                </c:pt>
                <c:pt idx="4">
                  <c:v>2026 Q1</c:v>
                </c:pt>
                <c:pt idx="5">
                  <c:v>2026 Q2</c:v>
                </c:pt>
                <c:pt idx="6">
                  <c:v>2026 Q3</c:v>
                </c:pt>
                <c:pt idx="7">
                  <c:v>2026 Q4</c:v>
                </c:pt>
                <c:pt idx="8">
                  <c:v>2027 Q1</c:v>
                </c:pt>
                <c:pt idx="9">
                  <c:v>2027 Q2</c:v>
                </c:pt>
                <c:pt idx="10">
                  <c:v>2027 Q3</c:v>
                </c:pt>
                <c:pt idx="11">
                  <c:v>2027 Q4</c:v>
                </c:pt>
                <c:pt idx="12">
                  <c:v>2028 Q1</c:v>
                </c:pt>
                <c:pt idx="13">
                  <c:v>2028 Q2</c:v>
                </c:pt>
                <c:pt idx="14">
                  <c:v>2028 Q3</c:v>
                </c:pt>
                <c:pt idx="15">
                  <c:v>2028 Q4</c:v>
                </c:pt>
                <c:pt idx="16">
                  <c:v>2029 Q1</c:v>
                </c:pt>
                <c:pt idx="17">
                  <c:v>2029 Q2</c:v>
                </c:pt>
                <c:pt idx="18">
                  <c:v>2029 Q3</c:v>
                </c:pt>
                <c:pt idx="19">
                  <c:v>2029 Q4</c:v>
                </c:pt>
                <c:pt idx="20">
                  <c:v>2030 Q1</c:v>
                </c:pt>
                <c:pt idx="21">
                  <c:v>2030 Q2</c:v>
                </c:pt>
                <c:pt idx="22">
                  <c:v>2030 Q3</c:v>
                </c:pt>
                <c:pt idx="23">
                  <c:v>2030 Q4</c:v>
                </c:pt>
                <c:pt idx="24">
                  <c:v>2031 Q1</c:v>
                </c:pt>
                <c:pt idx="25">
                  <c:v>2031 Q2</c:v>
                </c:pt>
                <c:pt idx="26">
                  <c:v>2031 Q3</c:v>
                </c:pt>
                <c:pt idx="27">
                  <c:v>2031 Q4</c:v>
                </c:pt>
                <c:pt idx="28">
                  <c:v>2032 Q1</c:v>
                </c:pt>
                <c:pt idx="29">
                  <c:v>2032 Q2</c:v>
                </c:pt>
                <c:pt idx="30">
                  <c:v>2032 Q3</c:v>
                </c:pt>
                <c:pt idx="31">
                  <c:v>2032 Q4</c:v>
                </c:pt>
                <c:pt idx="32">
                  <c:v>2033 Q1</c:v>
                </c:pt>
                <c:pt idx="33">
                  <c:v>2033 Q2</c:v>
                </c:pt>
                <c:pt idx="34">
                  <c:v>2033 Q3</c:v>
                </c:pt>
                <c:pt idx="35">
                  <c:v>2033 Q4</c:v>
                </c:pt>
                <c:pt idx="36">
                  <c:v>2034 Q1</c:v>
                </c:pt>
                <c:pt idx="37">
                  <c:v>2034 Q2</c:v>
                </c:pt>
                <c:pt idx="38">
                  <c:v>2034 Q3</c:v>
                </c:pt>
                <c:pt idx="39">
                  <c:v>2034 Q4</c:v>
                </c:pt>
              </c:strCache>
            </c:strRef>
          </c:cat>
          <c:val>
            <c:numRef>
              <c:f>Forecast_Quarterly!$G$2:$G$41</c:f>
              <c:numCache>
                <c:formatCode>#,##0</c:formatCode>
                <c:ptCount val="40"/>
                <c:pt idx="0">
                  <c:v>21140028</c:v>
                </c:pt>
                <c:pt idx="1">
                  <c:v>21036878</c:v>
                </c:pt>
                <c:pt idx="2">
                  <c:v>21284042</c:v>
                </c:pt>
                <c:pt idx="3">
                  <c:v>21562723</c:v>
                </c:pt>
                <c:pt idx="4">
                  <c:v>22031237</c:v>
                </c:pt>
                <c:pt idx="5">
                  <c:v>22230817</c:v>
                </c:pt>
                <c:pt idx="6">
                  <c:v>22663290</c:v>
                </c:pt>
                <c:pt idx="7">
                  <c:v>23031915</c:v>
                </c:pt>
                <c:pt idx="8">
                  <c:v>23538728</c:v>
                </c:pt>
                <c:pt idx="9">
                  <c:v>23717425</c:v>
                </c:pt>
                <c:pt idx="10">
                  <c:v>24120460</c:v>
                </c:pt>
                <c:pt idx="11">
                  <c:v>24442953</c:v>
                </c:pt>
                <c:pt idx="12">
                  <c:v>24905411</c:v>
                </c:pt>
                <c:pt idx="13">
                  <c:v>25018995</c:v>
                </c:pt>
                <c:pt idx="14">
                  <c:v>25369034</c:v>
                </c:pt>
                <c:pt idx="15">
                  <c:v>25635531</c:v>
                </c:pt>
                <c:pt idx="16">
                  <c:v>26049836</c:v>
                </c:pt>
                <c:pt idx="17">
                  <c:v>26101579</c:v>
                </c:pt>
                <c:pt idx="18">
                  <c:v>26401935</c:v>
                </c:pt>
                <c:pt idx="19">
                  <c:v>26617520</c:v>
                </c:pt>
                <c:pt idx="20">
                  <c:v>26988175</c:v>
                </c:pt>
                <c:pt idx="21">
                  <c:v>26985706</c:v>
                </c:pt>
                <c:pt idx="22">
                  <c:v>27242311</c:v>
                </c:pt>
                <c:pt idx="23">
                  <c:v>27413618</c:v>
                </c:pt>
                <c:pt idx="24">
                  <c:v>27746289</c:v>
                </c:pt>
                <c:pt idx="25">
                  <c:v>27697718</c:v>
                </c:pt>
                <c:pt idx="26">
                  <c:v>27917015</c:v>
                </c:pt>
                <c:pt idx="27">
                  <c:v>28050921</c:v>
                </c:pt>
                <c:pt idx="28">
                  <c:v>28351522</c:v>
                </c:pt>
                <c:pt idx="29">
                  <c:v>28264686</c:v>
                </c:pt>
                <c:pt idx="30">
                  <c:v>28452969</c:v>
                </c:pt>
                <c:pt idx="31">
                  <c:v>28556011</c:v>
                </c:pt>
                <c:pt idx="32">
                  <c:v>28830161</c:v>
                </c:pt>
                <c:pt idx="33">
                  <c:v>28712161</c:v>
                </c:pt>
                <c:pt idx="34">
                  <c:v>28875163</c:v>
                </c:pt>
                <c:pt idx="35">
                  <c:v>28953182</c:v>
                </c:pt>
                <c:pt idx="36">
                  <c:v>29205901</c:v>
                </c:pt>
                <c:pt idx="37">
                  <c:v>29062887</c:v>
                </c:pt>
                <c:pt idx="38">
                  <c:v>29205585</c:v>
                </c:pt>
                <c:pt idx="39">
                  <c:v>29263591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740-4C77-8596-7194704E47D1}"/>
            </c:ext>
          </c:extLst>
        </c:ser>
        <c:ser>
          <c:idx val="4"/>
          <c:order val="4"/>
          <c:tx>
            <c:strRef>
              <c:f>Forecast_Quarterly!$H$1</c:f>
              <c:strCache>
                <c:ptCount val="1"/>
                <c:pt idx="0">
                  <c:v>Bucks</c:v>
                </c:pt>
              </c:strCache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Forecast_Quarterly!$C$2:$C$41</c:f>
              <c:strCache>
                <c:ptCount val="40"/>
                <c:pt idx="0">
                  <c:v>2025 Q1</c:v>
                </c:pt>
                <c:pt idx="1">
                  <c:v>2025 Q2</c:v>
                </c:pt>
                <c:pt idx="2">
                  <c:v>2025 Q3</c:v>
                </c:pt>
                <c:pt idx="3">
                  <c:v>2025 Q4</c:v>
                </c:pt>
                <c:pt idx="4">
                  <c:v>2026 Q1</c:v>
                </c:pt>
                <c:pt idx="5">
                  <c:v>2026 Q2</c:v>
                </c:pt>
                <c:pt idx="6">
                  <c:v>2026 Q3</c:v>
                </c:pt>
                <c:pt idx="7">
                  <c:v>2026 Q4</c:v>
                </c:pt>
                <c:pt idx="8">
                  <c:v>2027 Q1</c:v>
                </c:pt>
                <c:pt idx="9">
                  <c:v>2027 Q2</c:v>
                </c:pt>
                <c:pt idx="10">
                  <c:v>2027 Q3</c:v>
                </c:pt>
                <c:pt idx="11">
                  <c:v>2027 Q4</c:v>
                </c:pt>
                <c:pt idx="12">
                  <c:v>2028 Q1</c:v>
                </c:pt>
                <c:pt idx="13">
                  <c:v>2028 Q2</c:v>
                </c:pt>
                <c:pt idx="14">
                  <c:v>2028 Q3</c:v>
                </c:pt>
                <c:pt idx="15">
                  <c:v>2028 Q4</c:v>
                </c:pt>
                <c:pt idx="16">
                  <c:v>2029 Q1</c:v>
                </c:pt>
                <c:pt idx="17">
                  <c:v>2029 Q2</c:v>
                </c:pt>
                <c:pt idx="18">
                  <c:v>2029 Q3</c:v>
                </c:pt>
                <c:pt idx="19">
                  <c:v>2029 Q4</c:v>
                </c:pt>
                <c:pt idx="20">
                  <c:v>2030 Q1</c:v>
                </c:pt>
                <c:pt idx="21">
                  <c:v>2030 Q2</c:v>
                </c:pt>
                <c:pt idx="22">
                  <c:v>2030 Q3</c:v>
                </c:pt>
                <c:pt idx="23">
                  <c:v>2030 Q4</c:v>
                </c:pt>
                <c:pt idx="24">
                  <c:v>2031 Q1</c:v>
                </c:pt>
                <c:pt idx="25">
                  <c:v>2031 Q2</c:v>
                </c:pt>
                <c:pt idx="26">
                  <c:v>2031 Q3</c:v>
                </c:pt>
                <c:pt idx="27">
                  <c:v>2031 Q4</c:v>
                </c:pt>
                <c:pt idx="28">
                  <c:v>2032 Q1</c:v>
                </c:pt>
                <c:pt idx="29">
                  <c:v>2032 Q2</c:v>
                </c:pt>
                <c:pt idx="30">
                  <c:v>2032 Q3</c:v>
                </c:pt>
                <c:pt idx="31">
                  <c:v>2032 Q4</c:v>
                </c:pt>
                <c:pt idx="32">
                  <c:v>2033 Q1</c:v>
                </c:pt>
                <c:pt idx="33">
                  <c:v>2033 Q2</c:v>
                </c:pt>
                <c:pt idx="34">
                  <c:v>2033 Q3</c:v>
                </c:pt>
                <c:pt idx="35">
                  <c:v>2033 Q4</c:v>
                </c:pt>
                <c:pt idx="36">
                  <c:v>2034 Q1</c:v>
                </c:pt>
                <c:pt idx="37">
                  <c:v>2034 Q2</c:v>
                </c:pt>
                <c:pt idx="38">
                  <c:v>2034 Q3</c:v>
                </c:pt>
                <c:pt idx="39">
                  <c:v>2034 Q4</c:v>
                </c:pt>
              </c:strCache>
            </c:strRef>
          </c:cat>
          <c:val>
            <c:numRef>
              <c:f>Forecast_Quarterly!$H$2:$H$41</c:f>
              <c:numCache>
                <c:formatCode>#,##0</c:formatCode>
                <c:ptCount val="40"/>
                <c:pt idx="0">
                  <c:v>2505170</c:v>
                </c:pt>
                <c:pt idx="1">
                  <c:v>2613540</c:v>
                </c:pt>
                <c:pt idx="2">
                  <c:v>2742172</c:v>
                </c:pt>
                <c:pt idx="3">
                  <c:v>2794452</c:v>
                </c:pt>
                <c:pt idx="4">
                  <c:v>2883181</c:v>
                </c:pt>
                <c:pt idx="5">
                  <c:v>2897326</c:v>
                </c:pt>
                <c:pt idx="6">
                  <c:v>2967530</c:v>
                </c:pt>
                <c:pt idx="7">
                  <c:v>2980847</c:v>
                </c:pt>
                <c:pt idx="8">
                  <c:v>3045388</c:v>
                </c:pt>
                <c:pt idx="9">
                  <c:v>3040273</c:v>
                </c:pt>
                <c:pt idx="10">
                  <c:v>3099200</c:v>
                </c:pt>
                <c:pt idx="11">
                  <c:v>3103030</c:v>
                </c:pt>
                <c:pt idx="12">
                  <c:v>3161019</c:v>
                </c:pt>
                <c:pt idx="13">
                  <c:v>3147989</c:v>
                </c:pt>
                <c:pt idx="14">
                  <c:v>3201524</c:v>
                </c:pt>
                <c:pt idx="15">
                  <c:v>3199459</c:v>
                </c:pt>
                <c:pt idx="16">
                  <c:v>3252786</c:v>
                </c:pt>
                <c:pt idx="17">
                  <c:v>3233568</c:v>
                </c:pt>
                <c:pt idx="18">
                  <c:v>3282667</c:v>
                </c:pt>
                <c:pt idx="19">
                  <c:v>3275770</c:v>
                </c:pt>
                <c:pt idx="20">
                  <c:v>3325194</c:v>
                </c:pt>
                <c:pt idx="21">
                  <c:v>3300916</c:v>
                </c:pt>
                <c:pt idx="22">
                  <c:v>3346353</c:v>
                </c:pt>
                <c:pt idx="23">
                  <c:v>3335557</c:v>
                </c:pt>
                <c:pt idx="24">
                  <c:v>3381804</c:v>
                </c:pt>
                <c:pt idx="25">
                  <c:v>3353481</c:v>
                </c:pt>
                <c:pt idx="26">
                  <c:v>3395974</c:v>
                </c:pt>
                <c:pt idx="27">
                  <c:v>3382088</c:v>
                </c:pt>
                <c:pt idx="28">
                  <c:v>3425801</c:v>
                </c:pt>
                <c:pt idx="29">
                  <c:v>3394288</c:v>
                </c:pt>
                <c:pt idx="30">
                  <c:v>3434448</c:v>
                </c:pt>
                <c:pt idx="31">
                  <c:v>3418141</c:v>
                </c:pt>
                <c:pt idx="32">
                  <c:v>3459855</c:v>
                </c:pt>
                <c:pt idx="33">
                  <c:v>3425849</c:v>
                </c:pt>
                <c:pt idx="34">
                  <c:v>3464178</c:v>
                </c:pt>
                <c:pt idx="35">
                  <c:v>3445986</c:v>
                </c:pt>
                <c:pt idx="36">
                  <c:v>3486137</c:v>
                </c:pt>
                <c:pt idx="37">
                  <c:v>3450193</c:v>
                </c:pt>
                <c:pt idx="38">
                  <c:v>3487095</c:v>
                </c:pt>
                <c:pt idx="39">
                  <c:v>3467442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740-4C77-8596-7194704E4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852433"/>
        <c:axId val="400686345"/>
      </c:lineChart>
      <c:catAx>
        <c:axId val="789852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K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KE"/>
          </a:p>
        </c:txPr>
        <c:crossAx val="400686345"/>
        <c:crosses val="autoZero"/>
        <c:auto val="1"/>
        <c:lblAlgn val="ctr"/>
        <c:lblOffset val="100"/>
        <c:noMultiLvlLbl val="1"/>
      </c:catAx>
      <c:valAx>
        <c:axId val="400686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KE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KE"/>
          </a:p>
        </c:txPr>
        <c:crossAx val="7898524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K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Historical</a:t>
            </a:r>
            <a:r>
              <a:rPr lang="en-US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Goat Herd Structure</a:t>
            </a:r>
          </a:p>
          <a:p>
            <a:pPr>
              <a:defRPr/>
            </a:pPr>
            <a:r>
              <a:rPr lang="en-US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(2018-2024)</a:t>
            </a:r>
            <a:endParaRPr lang="en-US" b="1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Historical_Yearly!$C$1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Historical_Yearly!$C$2:$C$8</c:f>
              <c:numCache>
                <c:formatCode>#,##0</c:formatCode>
                <c:ptCount val="7"/>
                <c:pt idx="0">
                  <c:v>4657700</c:v>
                </c:pt>
                <c:pt idx="1">
                  <c:v>6238434</c:v>
                </c:pt>
                <c:pt idx="2">
                  <c:v>6364561</c:v>
                </c:pt>
                <c:pt idx="3">
                  <c:v>5962178</c:v>
                </c:pt>
                <c:pt idx="4">
                  <c:v>5393709</c:v>
                </c:pt>
                <c:pt idx="5">
                  <c:v>6189479</c:v>
                </c:pt>
                <c:pt idx="6" formatCode="General">
                  <c:v>6799793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47-4532-8444-0096D9A132E5}"/>
            </c:ext>
          </c:extLst>
        </c:ser>
        <c:ser>
          <c:idx val="1"/>
          <c:order val="1"/>
          <c:tx>
            <c:strRef>
              <c:f>Historical_Yearly!$D$1</c:f>
              <c:strCache>
                <c:ptCount val="1"/>
                <c:pt idx="0">
                  <c:v>Weaners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Historical_Yearly!$D$2:$D$8</c:f>
              <c:numCache>
                <c:formatCode>#,##0</c:formatCode>
                <c:ptCount val="7"/>
                <c:pt idx="0">
                  <c:v>2587611</c:v>
                </c:pt>
                <c:pt idx="1">
                  <c:v>3465796</c:v>
                </c:pt>
                <c:pt idx="2">
                  <c:v>3535867</c:v>
                </c:pt>
                <c:pt idx="3">
                  <c:v>3312321</c:v>
                </c:pt>
                <c:pt idx="4">
                  <c:v>2996505</c:v>
                </c:pt>
                <c:pt idx="5">
                  <c:v>3438599</c:v>
                </c:pt>
                <c:pt idx="6" formatCode="General">
                  <c:v>3777663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7-4532-8444-0096D9A132E5}"/>
            </c:ext>
          </c:extLst>
        </c:ser>
        <c:ser>
          <c:idx val="2"/>
          <c:order val="2"/>
          <c:tx>
            <c:strRef>
              <c:f>Historical_Yearly!$E$1</c:f>
              <c:strCache>
                <c:ptCount val="1"/>
                <c:pt idx="0">
                  <c:v>Growers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Historical_Yearly!$E$2:$E$8</c:f>
              <c:numCache>
                <c:formatCode>#,##0</c:formatCode>
                <c:ptCount val="7"/>
                <c:pt idx="0">
                  <c:v>2587611</c:v>
                </c:pt>
                <c:pt idx="1">
                  <c:v>3465796</c:v>
                </c:pt>
                <c:pt idx="2">
                  <c:v>3535867</c:v>
                </c:pt>
                <c:pt idx="3">
                  <c:v>3312321</c:v>
                </c:pt>
                <c:pt idx="4">
                  <c:v>2996505</c:v>
                </c:pt>
                <c:pt idx="5">
                  <c:v>3438599</c:v>
                </c:pt>
                <c:pt idx="6" formatCode="General">
                  <c:v>3777663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47-4532-8444-0096D9A132E5}"/>
            </c:ext>
          </c:extLst>
        </c:ser>
        <c:ser>
          <c:idx val="3"/>
          <c:order val="3"/>
          <c:tx>
            <c:strRef>
              <c:f>Historical_Yearly!$F$1</c:f>
              <c:strCache>
                <c:ptCount val="1"/>
                <c:pt idx="0">
                  <c:v>Does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Historical_Yearly!$F$2:$F$8</c:f>
              <c:numCache>
                <c:formatCode>#,##0</c:formatCode>
                <c:ptCount val="7"/>
                <c:pt idx="0">
                  <c:v>14490623</c:v>
                </c:pt>
                <c:pt idx="1">
                  <c:v>19408462</c:v>
                </c:pt>
                <c:pt idx="2">
                  <c:v>19800857</c:v>
                </c:pt>
                <c:pt idx="3">
                  <c:v>18548999</c:v>
                </c:pt>
                <c:pt idx="4">
                  <c:v>16780430</c:v>
                </c:pt>
                <c:pt idx="5">
                  <c:v>19256158</c:v>
                </c:pt>
                <c:pt idx="6" formatCode="General">
                  <c:v>21154914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47-4532-8444-0096D9A132E5}"/>
            </c:ext>
          </c:extLst>
        </c:ser>
        <c:ser>
          <c:idx val="4"/>
          <c:order val="4"/>
          <c:tx>
            <c:strRef>
              <c:f>Historical_Yearly!$G$1</c:f>
              <c:strCache>
                <c:ptCount val="1"/>
                <c:pt idx="0">
                  <c:v>Bucks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Historical_Yearly!$G$2:$G$8</c:f>
              <c:numCache>
                <c:formatCode>#,##0</c:formatCode>
                <c:ptCount val="7"/>
                <c:pt idx="0">
                  <c:v>1552566</c:v>
                </c:pt>
                <c:pt idx="1">
                  <c:v>2079478</c:v>
                </c:pt>
                <c:pt idx="2">
                  <c:v>2121520</c:v>
                </c:pt>
                <c:pt idx="3">
                  <c:v>1987392</c:v>
                </c:pt>
                <c:pt idx="4">
                  <c:v>1797903</c:v>
                </c:pt>
                <c:pt idx="5">
                  <c:v>2063159</c:v>
                </c:pt>
                <c:pt idx="6" formatCode="General">
                  <c:v>2266597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47-4532-8444-0096D9A1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051392"/>
        <c:axId val="1667879088"/>
      </c:lineChart>
      <c:catAx>
        <c:axId val="158805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667879088"/>
        <c:crosses val="autoZero"/>
        <c:auto val="1"/>
        <c:lblAlgn val="ctr"/>
        <c:lblOffset val="100"/>
        <c:noMultiLvlLbl val="0"/>
      </c:catAx>
      <c:valAx>
        <c:axId val="16678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Number of Goats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588051392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[Goats_Model_Outputs_with_Charts.xlsx]Pivot Table 1!Pivot Table 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Forecasted</a:t>
            </a:r>
            <a:r>
              <a:rPr lang="en-US" sz="1400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</a:t>
            </a:r>
            <a:r>
              <a: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Goat Herd Structure</a:t>
            </a:r>
            <a:r>
              <a:rPr lang="en-US" sz="1400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(2025-2034)</a:t>
            </a:r>
            <a:endParaRPr lang="en-US" sz="1400" b="1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4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1'!$B$3:$B$4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1'!$B$5:$B$14</c:f>
              <c:numCache>
                <c:formatCode>General</c:formatCode>
                <c:ptCount val="10"/>
                <c:pt idx="0">
                  <c:v>7732511</c:v>
                </c:pt>
                <c:pt idx="1">
                  <c:v>7632521</c:v>
                </c:pt>
                <c:pt idx="2">
                  <c:v>7675394</c:v>
                </c:pt>
                <c:pt idx="3">
                  <c:v>7705351</c:v>
                </c:pt>
                <c:pt idx="4">
                  <c:v>7716020</c:v>
                </c:pt>
                <c:pt idx="5">
                  <c:v>7715890</c:v>
                </c:pt>
                <c:pt idx="6">
                  <c:v>7710509</c:v>
                </c:pt>
                <c:pt idx="7">
                  <c:v>7703070</c:v>
                </c:pt>
                <c:pt idx="8">
                  <c:v>7695318</c:v>
                </c:pt>
                <c:pt idx="9">
                  <c:v>7688129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84D-4DD7-BD28-3C2E17CB8B0D}"/>
            </c:ext>
          </c:extLst>
        </c:ser>
        <c:ser>
          <c:idx val="1"/>
          <c:order val="1"/>
          <c:tx>
            <c:strRef>
              <c:f>'Pivot Table 1'!$C$3:$C$4</c:f>
              <c:strCache>
                <c:ptCount val="1"/>
                <c:pt idx="0">
                  <c:v>weaners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1'!$C$5:$C$14</c:f>
              <c:numCache>
                <c:formatCode>General</c:formatCode>
                <c:ptCount val="10"/>
                <c:pt idx="0">
                  <c:v>3672947</c:v>
                </c:pt>
                <c:pt idx="1">
                  <c:v>3615425</c:v>
                </c:pt>
                <c:pt idx="2">
                  <c:v>3611195</c:v>
                </c:pt>
                <c:pt idx="3">
                  <c:v>3623490</c:v>
                </c:pt>
                <c:pt idx="4">
                  <c:v>3628216</c:v>
                </c:pt>
                <c:pt idx="5">
                  <c:v>3627026</c:v>
                </c:pt>
                <c:pt idx="6">
                  <c:v>3622945</c:v>
                </c:pt>
                <c:pt idx="7">
                  <c:v>3617817</c:v>
                </c:pt>
                <c:pt idx="8">
                  <c:v>3612644</c:v>
                </c:pt>
                <c:pt idx="9">
                  <c:v>3607918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84D-4DD7-BD28-3C2E17CB8B0D}"/>
            </c:ext>
          </c:extLst>
        </c:ser>
        <c:ser>
          <c:idx val="2"/>
          <c:order val="2"/>
          <c:tx>
            <c:strRef>
              <c:f>'Pivot Table 1'!$D$3:$D$4</c:f>
              <c:strCache>
                <c:ptCount val="1"/>
                <c:pt idx="0">
                  <c:v>growers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1'!$D$5:$D$14</c:f>
              <c:numCache>
                <c:formatCode>General</c:formatCode>
                <c:ptCount val="10"/>
                <c:pt idx="0">
                  <c:v>7757407</c:v>
                </c:pt>
                <c:pt idx="1">
                  <c:v>8723345</c:v>
                </c:pt>
                <c:pt idx="2">
                  <c:v>8906166</c:v>
                </c:pt>
                <c:pt idx="3">
                  <c:v>8967337</c:v>
                </c:pt>
                <c:pt idx="4">
                  <c:v>8992047</c:v>
                </c:pt>
                <c:pt idx="5">
                  <c:v>8995996</c:v>
                </c:pt>
                <c:pt idx="6">
                  <c:v>8988675</c:v>
                </c:pt>
                <c:pt idx="7">
                  <c:v>8976295</c:v>
                </c:pt>
                <c:pt idx="8">
                  <c:v>8962512</c:v>
                </c:pt>
                <c:pt idx="9">
                  <c:v>8949278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84D-4DD7-BD28-3C2E17CB8B0D}"/>
            </c:ext>
          </c:extLst>
        </c:ser>
        <c:ser>
          <c:idx val="3"/>
          <c:order val="3"/>
          <c:tx>
            <c:strRef>
              <c:f>'Pivot Table 1'!$E$3:$E$4</c:f>
              <c:strCache>
                <c:ptCount val="1"/>
                <c:pt idx="0">
                  <c:v>does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1'!$E$5:$E$14</c:f>
              <c:numCache>
                <c:formatCode>General</c:formatCode>
                <c:ptCount val="10"/>
                <c:pt idx="0">
                  <c:v>21562723</c:v>
                </c:pt>
                <c:pt idx="1">
                  <c:v>23031915</c:v>
                </c:pt>
                <c:pt idx="2">
                  <c:v>24442953</c:v>
                </c:pt>
                <c:pt idx="3">
                  <c:v>25635531</c:v>
                </c:pt>
                <c:pt idx="4">
                  <c:v>26617520</c:v>
                </c:pt>
                <c:pt idx="5">
                  <c:v>27413618</c:v>
                </c:pt>
                <c:pt idx="6">
                  <c:v>28050921</c:v>
                </c:pt>
                <c:pt idx="7">
                  <c:v>28556011</c:v>
                </c:pt>
                <c:pt idx="8">
                  <c:v>28953182</c:v>
                </c:pt>
                <c:pt idx="9">
                  <c:v>29263591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84D-4DD7-BD28-3C2E17CB8B0D}"/>
            </c:ext>
          </c:extLst>
        </c:ser>
        <c:ser>
          <c:idx val="4"/>
          <c:order val="4"/>
          <c:tx>
            <c:strRef>
              <c:f>'Pivot Table 1'!$F$3:$F$4</c:f>
              <c:strCache>
                <c:ptCount val="1"/>
                <c:pt idx="0">
                  <c:v>bucks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1'!$F$5:$F$14</c:f>
              <c:numCache>
                <c:formatCode>General</c:formatCode>
                <c:ptCount val="10"/>
                <c:pt idx="0">
                  <c:v>2794452</c:v>
                </c:pt>
                <c:pt idx="1">
                  <c:v>2980847</c:v>
                </c:pt>
                <c:pt idx="2">
                  <c:v>3103030</c:v>
                </c:pt>
                <c:pt idx="3">
                  <c:v>3199459</c:v>
                </c:pt>
                <c:pt idx="4">
                  <c:v>3275770</c:v>
                </c:pt>
                <c:pt idx="5">
                  <c:v>3335557</c:v>
                </c:pt>
                <c:pt idx="6">
                  <c:v>3382088</c:v>
                </c:pt>
                <c:pt idx="7">
                  <c:v>3418141</c:v>
                </c:pt>
                <c:pt idx="8">
                  <c:v>3445986</c:v>
                </c:pt>
                <c:pt idx="9">
                  <c:v>3467442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84D-4DD7-BD28-3C2E17CB8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051392"/>
        <c:axId val="1667879088"/>
      </c:lineChart>
      <c:catAx>
        <c:axId val="158805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667879088"/>
        <c:crosses val="autoZero"/>
        <c:auto val="1"/>
        <c:lblAlgn val="ctr"/>
        <c:lblOffset val="100"/>
        <c:noMultiLvlLbl val="0"/>
      </c:catAx>
      <c:valAx>
        <c:axId val="16678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Number of Goats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588051392"/>
        <c:crosses val="autoZero"/>
        <c:crossBetween val="between"/>
        <c:dispUnits>
          <c:builtInUnit val="millions"/>
        </c:dispUnits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[Goats_Model_Outputs_with_Charts.xlsx]Pivot Table 1!Pivot Table 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Forecasted</a:t>
            </a:r>
            <a:r>
              <a:rPr lang="en-US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Population (2025-2034)</a:t>
            </a:r>
            <a:endParaRPr lang="en-US" b="1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4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3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4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5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3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4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5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1'!$B$3:$B$4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1'!$B$5:$B$14</c:f>
              <c:numCache>
                <c:formatCode>General</c:formatCode>
                <c:ptCount val="10"/>
                <c:pt idx="0">
                  <c:v>7732511</c:v>
                </c:pt>
                <c:pt idx="1">
                  <c:v>7632521</c:v>
                </c:pt>
                <c:pt idx="2">
                  <c:v>7675394</c:v>
                </c:pt>
                <c:pt idx="3">
                  <c:v>7705351</c:v>
                </c:pt>
                <c:pt idx="4">
                  <c:v>7716020</c:v>
                </c:pt>
                <c:pt idx="5">
                  <c:v>7715890</c:v>
                </c:pt>
                <c:pt idx="6">
                  <c:v>7710509</c:v>
                </c:pt>
                <c:pt idx="7">
                  <c:v>7703070</c:v>
                </c:pt>
                <c:pt idx="8">
                  <c:v>7695318</c:v>
                </c:pt>
                <c:pt idx="9">
                  <c:v>7688129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4-42BF-84BF-7961A5655045}"/>
            </c:ext>
          </c:extLst>
        </c:ser>
        <c:ser>
          <c:idx val="1"/>
          <c:order val="1"/>
          <c:tx>
            <c:strRef>
              <c:f>'Pivot Table 1'!$C$3:$C$4</c:f>
              <c:strCache>
                <c:ptCount val="1"/>
                <c:pt idx="0">
                  <c:v>weaners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1'!$C$5:$C$14</c:f>
              <c:numCache>
                <c:formatCode>General</c:formatCode>
                <c:ptCount val="10"/>
                <c:pt idx="0">
                  <c:v>3672947</c:v>
                </c:pt>
                <c:pt idx="1">
                  <c:v>3615425</c:v>
                </c:pt>
                <c:pt idx="2">
                  <c:v>3611195</c:v>
                </c:pt>
                <c:pt idx="3">
                  <c:v>3623490</c:v>
                </c:pt>
                <c:pt idx="4">
                  <c:v>3628216</c:v>
                </c:pt>
                <c:pt idx="5">
                  <c:v>3627026</c:v>
                </c:pt>
                <c:pt idx="6">
                  <c:v>3622945</c:v>
                </c:pt>
                <c:pt idx="7">
                  <c:v>3617817</c:v>
                </c:pt>
                <c:pt idx="8">
                  <c:v>3612644</c:v>
                </c:pt>
                <c:pt idx="9">
                  <c:v>3607918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04-42BF-84BF-7961A5655045}"/>
            </c:ext>
          </c:extLst>
        </c:ser>
        <c:ser>
          <c:idx val="2"/>
          <c:order val="2"/>
          <c:tx>
            <c:strRef>
              <c:f>'Pivot Table 1'!$D$3:$D$4</c:f>
              <c:strCache>
                <c:ptCount val="1"/>
                <c:pt idx="0">
                  <c:v>growers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1'!$D$5:$D$14</c:f>
              <c:numCache>
                <c:formatCode>General</c:formatCode>
                <c:ptCount val="10"/>
                <c:pt idx="0">
                  <c:v>7757407</c:v>
                </c:pt>
                <c:pt idx="1">
                  <c:v>8723345</c:v>
                </c:pt>
                <c:pt idx="2">
                  <c:v>8906166</c:v>
                </c:pt>
                <c:pt idx="3">
                  <c:v>8967337</c:v>
                </c:pt>
                <c:pt idx="4">
                  <c:v>8992047</c:v>
                </c:pt>
                <c:pt idx="5">
                  <c:v>8995996</c:v>
                </c:pt>
                <c:pt idx="6">
                  <c:v>8988675</c:v>
                </c:pt>
                <c:pt idx="7">
                  <c:v>8976295</c:v>
                </c:pt>
                <c:pt idx="8">
                  <c:v>8962512</c:v>
                </c:pt>
                <c:pt idx="9">
                  <c:v>8949278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04-42BF-84BF-7961A5655045}"/>
            </c:ext>
          </c:extLst>
        </c:ser>
        <c:ser>
          <c:idx val="3"/>
          <c:order val="3"/>
          <c:tx>
            <c:strRef>
              <c:f>'Pivot Table 1'!$E$3:$E$4</c:f>
              <c:strCache>
                <c:ptCount val="1"/>
                <c:pt idx="0">
                  <c:v>does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1'!$E$5:$E$14</c:f>
              <c:numCache>
                <c:formatCode>General</c:formatCode>
                <c:ptCount val="10"/>
                <c:pt idx="0">
                  <c:v>21562723</c:v>
                </c:pt>
                <c:pt idx="1">
                  <c:v>23031915</c:v>
                </c:pt>
                <c:pt idx="2">
                  <c:v>24442953</c:v>
                </c:pt>
                <c:pt idx="3">
                  <c:v>25635531</c:v>
                </c:pt>
                <c:pt idx="4">
                  <c:v>26617520</c:v>
                </c:pt>
                <c:pt idx="5">
                  <c:v>27413618</c:v>
                </c:pt>
                <c:pt idx="6">
                  <c:v>28050921</c:v>
                </c:pt>
                <c:pt idx="7">
                  <c:v>28556011</c:v>
                </c:pt>
                <c:pt idx="8">
                  <c:v>28953182</c:v>
                </c:pt>
                <c:pt idx="9">
                  <c:v>29263591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04-42BF-84BF-7961A5655045}"/>
            </c:ext>
          </c:extLst>
        </c:ser>
        <c:ser>
          <c:idx val="4"/>
          <c:order val="4"/>
          <c:tx>
            <c:strRef>
              <c:f>'Pivot Table 1'!$F$3:$F$4</c:f>
              <c:strCache>
                <c:ptCount val="1"/>
                <c:pt idx="0">
                  <c:v>bucks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'Pivot Table 1'!$A$5:$A$14</c:f>
              <c:strCach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strCache>
            </c:strRef>
          </c:cat>
          <c:val>
            <c:numRef>
              <c:f>'Pivot Table 1'!$F$5:$F$14</c:f>
              <c:numCache>
                <c:formatCode>General</c:formatCode>
                <c:ptCount val="10"/>
                <c:pt idx="0">
                  <c:v>2794452</c:v>
                </c:pt>
                <c:pt idx="1">
                  <c:v>2980847</c:v>
                </c:pt>
                <c:pt idx="2">
                  <c:v>3103030</c:v>
                </c:pt>
                <c:pt idx="3">
                  <c:v>3199459</c:v>
                </c:pt>
                <c:pt idx="4">
                  <c:v>3275770</c:v>
                </c:pt>
                <c:pt idx="5">
                  <c:v>3335557</c:v>
                </c:pt>
                <c:pt idx="6">
                  <c:v>3382088</c:v>
                </c:pt>
                <c:pt idx="7">
                  <c:v>3418141</c:v>
                </c:pt>
                <c:pt idx="8">
                  <c:v>3445986</c:v>
                </c:pt>
                <c:pt idx="9">
                  <c:v>3467442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04-42BF-84BF-7961A5655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051392"/>
        <c:axId val="1667879088"/>
      </c:lineChart>
      <c:catAx>
        <c:axId val="158805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667879088"/>
        <c:crosses val="autoZero"/>
        <c:auto val="1"/>
        <c:lblAlgn val="ctr"/>
        <c:lblOffset val="100"/>
        <c:noMultiLvlLbl val="0"/>
      </c:catAx>
      <c:valAx>
        <c:axId val="16678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Population in</a:t>
                </a:r>
                <a:r>
                  <a:rPr lang="en-US" sz="11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 millions</a:t>
                </a:r>
                <a:endParaRPr lang="en-US" sz="110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588051392"/>
        <c:crosses val="autoZero"/>
        <c:crossBetween val="between"/>
        <c:dispUnits>
          <c:builtInUnit val="millions"/>
        </c:dispUnits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rPr>
              <a:t>Historical + Projected Goat Herd Structure</a:t>
            </a:r>
          </a:p>
          <a:p>
            <a:pPr algn="ctr" rtl="0">
              <a:defRPr lang="en-US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rPr>
              <a:t>(2018-2034)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Historical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Sheet1!$A$3:$A$19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Sheet1!$C$3:$C$19</c:f>
              <c:numCache>
                <c:formatCode>#,##0</c:formatCode>
                <c:ptCount val="17"/>
                <c:pt idx="0">
                  <c:v>25876113</c:v>
                </c:pt>
                <c:pt idx="1">
                  <c:v>34657969</c:v>
                </c:pt>
                <c:pt idx="2">
                  <c:v>35358674</c:v>
                </c:pt>
                <c:pt idx="3">
                  <c:v>33123213</c:v>
                </c:pt>
                <c:pt idx="4">
                  <c:v>29965055</c:v>
                </c:pt>
                <c:pt idx="5">
                  <c:v>34385998</c:v>
                </c:pt>
                <c:pt idx="6">
                  <c:v>37776633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8-4AB1-8A8A-6663B1723B84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Forecasted</c:v>
                </c:pt>
              </c:strCache>
            </c:strRef>
          </c:tx>
          <c:spPr>
            <a:ln w="28575" cap="rnd">
              <a:solidFill>
                <a:srgbClr val="0066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Sheet1!$A$3:$A$19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Sheet1!$D$3:$D$19</c:f>
              <c:numCache>
                <c:formatCode>#,##0</c:formatCode>
                <c:ptCount val="17"/>
                <c:pt idx="6">
                  <c:v>37776633</c:v>
                </c:pt>
                <c:pt idx="7">
                  <c:v>42443343</c:v>
                </c:pt>
                <c:pt idx="8">
                  <c:v>45306262</c:v>
                </c:pt>
                <c:pt idx="9">
                  <c:v>47173674</c:v>
                </c:pt>
                <c:pt idx="10">
                  <c:v>48646657</c:v>
                </c:pt>
                <c:pt idx="11">
                  <c:v>49812067</c:v>
                </c:pt>
                <c:pt idx="12">
                  <c:v>50724851</c:v>
                </c:pt>
                <c:pt idx="13">
                  <c:v>51435054</c:v>
                </c:pt>
                <c:pt idx="14">
                  <c:v>51985180</c:v>
                </c:pt>
                <c:pt idx="15">
                  <c:v>52409972</c:v>
                </c:pt>
                <c:pt idx="16">
                  <c:v>52737249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A8-4AB1-8A8A-6663B1723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501488"/>
        <c:axId val="716501968"/>
      </c:lineChart>
      <c:catAx>
        <c:axId val="71650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716501968"/>
        <c:crosses val="autoZero"/>
        <c:auto val="1"/>
        <c:lblAlgn val="ctr"/>
        <c:lblOffset val="100"/>
        <c:noMultiLvlLbl val="0"/>
      </c:catAx>
      <c:valAx>
        <c:axId val="7165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Population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716501488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Historical + Projected Meat Production</a:t>
            </a:r>
          </a:p>
          <a:p>
            <a:pPr algn="ctr" rtl="0">
              <a:defRPr lang="en-US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(2018-2034)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Historical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Sheet1!$A$3:$A$19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Sheet1!$G$3:$G$19</c:f>
              <c:numCache>
                <c:formatCode>#,##0</c:formatCode>
                <c:ptCount val="17"/>
                <c:pt idx="0">
                  <c:v>42794549</c:v>
                </c:pt>
                <c:pt idx="1">
                  <c:v>57318205</c:v>
                </c:pt>
                <c:pt idx="2">
                  <c:v>58477046</c:v>
                </c:pt>
                <c:pt idx="3">
                  <c:v>54779982</c:v>
                </c:pt>
                <c:pt idx="4">
                  <c:v>49556946</c:v>
                </c:pt>
                <c:pt idx="5">
                  <c:v>56868405</c:v>
                </c:pt>
                <c:pt idx="6">
                  <c:v>62475921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3-4FAD-8422-4DBB81B2BED8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Forecasted</c:v>
                </c:pt>
              </c:strCache>
            </c:strRef>
          </c:tx>
          <c:spPr>
            <a:ln w="28575" cap="rnd">
              <a:solidFill>
                <a:srgbClr val="0066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Sheet1!$A$3:$A$19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Sheet1!$H$3:$H$19</c:f>
              <c:numCache>
                <c:formatCode>#,##0</c:formatCode>
                <c:ptCount val="17"/>
                <c:pt idx="6">
                  <c:v>62475921</c:v>
                </c:pt>
                <c:pt idx="7">
                  <c:v>66310422</c:v>
                </c:pt>
                <c:pt idx="8">
                  <c:v>71182529</c:v>
                </c:pt>
                <c:pt idx="9">
                  <c:v>75344380</c:v>
                </c:pt>
                <c:pt idx="10">
                  <c:v>78823051</c:v>
                </c:pt>
                <c:pt idx="11">
                  <c:v>81675037</c:v>
                </c:pt>
                <c:pt idx="12">
                  <c:v>83978062</c:v>
                </c:pt>
                <c:pt idx="13">
                  <c:v>85815711</c:v>
                </c:pt>
                <c:pt idx="14">
                  <c:v>87268352</c:v>
                </c:pt>
                <c:pt idx="15">
                  <c:v>88408296</c:v>
                </c:pt>
                <c:pt idx="16">
                  <c:v>89297802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3-4FAD-8422-4DBB81B2B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501488"/>
        <c:axId val="716501968"/>
      </c:lineChart>
      <c:catAx>
        <c:axId val="71650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716501968"/>
        <c:crosses val="autoZero"/>
        <c:auto val="1"/>
        <c:lblAlgn val="ctr"/>
        <c:lblOffset val="100"/>
        <c:noMultiLvlLbl val="0"/>
      </c:catAx>
      <c:valAx>
        <c:axId val="7165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Meat Produced (Million 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716501488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rPr>
              <a:t>Historical + Projected Milk Production</a:t>
            </a:r>
          </a:p>
          <a:p>
            <a:pPr algn="ctr" rtl="0">
              <a:defRPr lang="en-US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rPr>
              <a:t>(2018-2034)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Historical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Sheet1!$A$3:$A$19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Sheet1!$E$3:$E$19</c:f>
              <c:numCache>
                <c:formatCode>#,##0</c:formatCode>
                <c:ptCount val="17"/>
                <c:pt idx="0">
                  <c:v>255034964.80000001</c:v>
                </c:pt>
                <c:pt idx="1">
                  <c:v>341588931.19999999</c:v>
                </c:pt>
                <c:pt idx="2">
                  <c:v>348495083.19999999</c:v>
                </c:pt>
                <c:pt idx="3">
                  <c:v>326462382.39999998</c:v>
                </c:pt>
                <c:pt idx="4">
                  <c:v>295335568</c:v>
                </c:pt>
                <c:pt idx="5">
                  <c:v>338908380.80000001</c:v>
                </c:pt>
                <c:pt idx="6">
                  <c:v>372326486.39999998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1-4993-B9D9-71380EE9097D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Forecasted</c:v>
                </c:pt>
              </c:strCache>
            </c:strRef>
          </c:tx>
          <c:spPr>
            <a:ln w="28575" cap="rnd">
              <a:solidFill>
                <a:srgbClr val="0066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Sheet1!$A$3:$A$19</c:f>
              <c:numCache>
                <c:formatCode>General</c:formatCode>
                <c:ptCount val="1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</c:numCache>
            </c:numRef>
          </c:cat>
          <c:val>
            <c:numRef>
              <c:f>Sheet1!$F$3:$F$19</c:f>
              <c:numCache>
                <c:formatCode>#,##0</c:formatCode>
                <c:ptCount val="17"/>
                <c:pt idx="6">
                  <c:v>372326486.39999998</c:v>
                </c:pt>
                <c:pt idx="7">
                  <c:v>374104154</c:v>
                </c:pt>
                <c:pt idx="8">
                  <c:v>395471512</c:v>
                </c:pt>
                <c:pt idx="9">
                  <c:v>422000000</c:v>
                </c:pt>
                <c:pt idx="10">
                  <c:v>445000000</c:v>
                </c:pt>
                <c:pt idx="11">
                  <c:v>463000000</c:v>
                </c:pt>
                <c:pt idx="12">
                  <c:v>479000000</c:v>
                </c:pt>
                <c:pt idx="13">
                  <c:v>490000000</c:v>
                </c:pt>
                <c:pt idx="14">
                  <c:v>500000000</c:v>
                </c:pt>
                <c:pt idx="15">
                  <c:v>507000000</c:v>
                </c:pt>
                <c:pt idx="16">
                  <c:v>515000000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51-4993-B9D9-71380EE9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501488"/>
        <c:axId val="716501968"/>
      </c:lineChart>
      <c:catAx>
        <c:axId val="71650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716501968"/>
        <c:crosses val="autoZero"/>
        <c:auto val="1"/>
        <c:lblAlgn val="ctr"/>
        <c:lblOffset val="100"/>
        <c:noMultiLvlLbl val="0"/>
      </c:catAx>
      <c:valAx>
        <c:axId val="7165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Milk Produced (Million Litres)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716501488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rPr>
              <a:t>Projected Feed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Sheet1!$I$2</c:f>
              <c:strCache>
                <c:ptCount val="1"/>
                <c:pt idx="0">
                  <c:v>feed_intake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dash"/>
            </a:ln>
            <a:effectLst/>
          </c:spPr>
          <c:invertIfNegative val="0"/>
          <c:cat>
            <c:numRef>
              <c:f>Sheet1!$A$10:$A$19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Sheet1!$I$10:$I$19</c:f>
              <c:numCache>
                <c:formatCode>#,##0</c:formatCode>
                <c:ptCount val="10"/>
                <c:pt idx="0">
                  <c:v>258948104</c:v>
                </c:pt>
                <c:pt idx="1">
                  <c:v>280774875</c:v>
                </c:pt>
                <c:pt idx="2">
                  <c:v>296235522</c:v>
                </c:pt>
                <c:pt idx="3">
                  <c:v>308489044</c:v>
                </c:pt>
                <c:pt idx="4">
                  <c:v>318392473</c:v>
                </c:pt>
                <c:pt idx="5">
                  <c:v>326318929</c:v>
                </c:pt>
                <c:pt idx="6">
                  <c:v>332597901</c:v>
                </c:pt>
                <c:pt idx="7">
                  <c:v>337532318</c:v>
                </c:pt>
                <c:pt idx="8">
                  <c:v>341386540</c:v>
                </c:pt>
                <c:pt idx="9">
                  <c:v>344383013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51-4739-AB6C-2A5F3C7DF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6501488"/>
        <c:axId val="716501968"/>
      </c:barChart>
      <c:catAx>
        <c:axId val="71650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716501968"/>
        <c:crosses val="autoZero"/>
        <c:auto val="1"/>
        <c:lblAlgn val="ctr"/>
        <c:lblOffset val="100"/>
        <c:noMultiLvlLbl val="0"/>
      </c:catAx>
      <c:valAx>
        <c:axId val="7165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DMI (Million 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716501488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Historical</a:t>
            </a:r>
            <a:r>
              <a:rPr lang="en-US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Goat Herd Structure</a:t>
            </a:r>
          </a:p>
          <a:p>
            <a:pPr>
              <a:defRPr/>
            </a:pPr>
            <a:r>
              <a:rPr lang="en-US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(2018-2024)</a:t>
            </a:r>
            <a:endParaRPr lang="en-US" b="1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Historical_Yearly!$C$1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Historical_Yearly!$C$2:$C$8</c:f>
              <c:numCache>
                <c:formatCode>#,##0</c:formatCode>
                <c:ptCount val="7"/>
                <c:pt idx="0">
                  <c:v>4657700</c:v>
                </c:pt>
                <c:pt idx="1">
                  <c:v>6238434</c:v>
                </c:pt>
                <c:pt idx="2">
                  <c:v>6364561</c:v>
                </c:pt>
                <c:pt idx="3">
                  <c:v>5962178</c:v>
                </c:pt>
                <c:pt idx="4">
                  <c:v>5393709</c:v>
                </c:pt>
                <c:pt idx="5">
                  <c:v>6189479</c:v>
                </c:pt>
                <c:pt idx="6" formatCode="General">
                  <c:v>6799793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6-5E4F-9D02-6EB31BAE7E54}"/>
            </c:ext>
          </c:extLst>
        </c:ser>
        <c:ser>
          <c:idx val="1"/>
          <c:order val="1"/>
          <c:tx>
            <c:strRef>
              <c:f>Historical_Yearly!$D$1</c:f>
              <c:strCache>
                <c:ptCount val="1"/>
                <c:pt idx="0">
                  <c:v>Weaners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Historical_Yearly!$D$2:$D$8</c:f>
              <c:numCache>
                <c:formatCode>#,##0</c:formatCode>
                <c:ptCount val="7"/>
                <c:pt idx="0">
                  <c:v>2587611</c:v>
                </c:pt>
                <c:pt idx="1">
                  <c:v>3465796</c:v>
                </c:pt>
                <c:pt idx="2">
                  <c:v>3535867</c:v>
                </c:pt>
                <c:pt idx="3">
                  <c:v>3312321</c:v>
                </c:pt>
                <c:pt idx="4">
                  <c:v>2996505</c:v>
                </c:pt>
                <c:pt idx="5">
                  <c:v>3438599</c:v>
                </c:pt>
                <c:pt idx="6" formatCode="General">
                  <c:v>3777663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E6-5E4F-9D02-6EB31BAE7E54}"/>
            </c:ext>
          </c:extLst>
        </c:ser>
        <c:ser>
          <c:idx val="2"/>
          <c:order val="2"/>
          <c:tx>
            <c:strRef>
              <c:f>Historical_Yearly!$E$1</c:f>
              <c:strCache>
                <c:ptCount val="1"/>
                <c:pt idx="0">
                  <c:v>Growers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Historical_Yearly!$E$2:$E$8</c:f>
              <c:numCache>
                <c:formatCode>#,##0</c:formatCode>
                <c:ptCount val="7"/>
                <c:pt idx="0">
                  <c:v>2587611</c:v>
                </c:pt>
                <c:pt idx="1">
                  <c:v>3465796</c:v>
                </c:pt>
                <c:pt idx="2">
                  <c:v>3535867</c:v>
                </c:pt>
                <c:pt idx="3">
                  <c:v>3312321</c:v>
                </c:pt>
                <c:pt idx="4">
                  <c:v>2996505</c:v>
                </c:pt>
                <c:pt idx="5">
                  <c:v>3438599</c:v>
                </c:pt>
                <c:pt idx="6" formatCode="General">
                  <c:v>3777663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E6-5E4F-9D02-6EB31BAE7E54}"/>
            </c:ext>
          </c:extLst>
        </c:ser>
        <c:ser>
          <c:idx val="3"/>
          <c:order val="3"/>
          <c:tx>
            <c:strRef>
              <c:f>Historical_Yearly!$F$1</c:f>
              <c:strCache>
                <c:ptCount val="1"/>
                <c:pt idx="0">
                  <c:v>Does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Historical_Yearly!$F$2:$F$8</c:f>
              <c:numCache>
                <c:formatCode>#,##0</c:formatCode>
                <c:ptCount val="7"/>
                <c:pt idx="0">
                  <c:v>14490623</c:v>
                </c:pt>
                <c:pt idx="1">
                  <c:v>19408462</c:v>
                </c:pt>
                <c:pt idx="2">
                  <c:v>19800857</c:v>
                </c:pt>
                <c:pt idx="3">
                  <c:v>18548999</c:v>
                </c:pt>
                <c:pt idx="4">
                  <c:v>16780430</c:v>
                </c:pt>
                <c:pt idx="5">
                  <c:v>19256158</c:v>
                </c:pt>
                <c:pt idx="6" formatCode="General">
                  <c:v>21154914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E6-5E4F-9D02-6EB31BAE7E54}"/>
            </c:ext>
          </c:extLst>
        </c:ser>
        <c:ser>
          <c:idx val="4"/>
          <c:order val="4"/>
          <c:tx>
            <c:strRef>
              <c:f>Historical_Yearly!$G$1</c:f>
              <c:strCache>
                <c:ptCount val="1"/>
                <c:pt idx="0">
                  <c:v>Bucks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Historical_Yearly!$A$2:$A$8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Historical_Yearly!$G$2:$G$8</c:f>
              <c:numCache>
                <c:formatCode>#,##0</c:formatCode>
                <c:ptCount val="7"/>
                <c:pt idx="0">
                  <c:v>1552566</c:v>
                </c:pt>
                <c:pt idx="1">
                  <c:v>2079478</c:v>
                </c:pt>
                <c:pt idx="2">
                  <c:v>2121520</c:v>
                </c:pt>
                <c:pt idx="3">
                  <c:v>1987392</c:v>
                </c:pt>
                <c:pt idx="4">
                  <c:v>1797903</c:v>
                </c:pt>
                <c:pt idx="5">
                  <c:v>2063159</c:v>
                </c:pt>
                <c:pt idx="6" formatCode="General">
                  <c:v>2266597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E6-5E4F-9D02-6EB31BAE7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051392"/>
        <c:axId val="1667879088"/>
      </c:lineChart>
      <c:catAx>
        <c:axId val="158805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667879088"/>
        <c:crosses val="autoZero"/>
        <c:auto val="1"/>
        <c:lblAlgn val="ctr"/>
        <c:lblOffset val="100"/>
        <c:noMultiLvlLbl val="0"/>
      </c:catAx>
      <c:valAx>
        <c:axId val="16678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Number of Goats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588051392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Forecasted</a:t>
            </a:r>
            <a:r>
              <a:rPr lang="en-US" sz="1400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</a:t>
            </a:r>
            <a:r>
              <a:rPr lang="en-US" sz="1400" b="1" i="0" u="none" strike="noStrike" kern="1200" spc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Goat Herd Structure</a:t>
            </a:r>
            <a:r>
              <a:rPr lang="en-US" sz="1400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(2025-2034)</a:t>
            </a:r>
            <a:endParaRPr lang="en-US" sz="1400" b="1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4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2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3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4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5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2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3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4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5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1 (2)'!$B$3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'Pivot Table 1 (2)'!$A$4:$A$13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'Pivot Table 1 (2)'!$B$4:$B$13</c:f>
              <c:numCache>
                <c:formatCode>General</c:formatCode>
                <c:ptCount val="10"/>
                <c:pt idx="0">
                  <c:v>7732511</c:v>
                </c:pt>
                <c:pt idx="1">
                  <c:v>7632521</c:v>
                </c:pt>
                <c:pt idx="2">
                  <c:v>7675394</c:v>
                </c:pt>
                <c:pt idx="3">
                  <c:v>7705351</c:v>
                </c:pt>
                <c:pt idx="4">
                  <c:v>7716020</c:v>
                </c:pt>
                <c:pt idx="5">
                  <c:v>7715890</c:v>
                </c:pt>
                <c:pt idx="6">
                  <c:v>7710509</c:v>
                </c:pt>
                <c:pt idx="7">
                  <c:v>7703070</c:v>
                </c:pt>
                <c:pt idx="8">
                  <c:v>7695318</c:v>
                </c:pt>
                <c:pt idx="9">
                  <c:v>7688129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DC-274E-A398-FE5B90904317}"/>
            </c:ext>
          </c:extLst>
        </c:ser>
        <c:ser>
          <c:idx val="1"/>
          <c:order val="1"/>
          <c:tx>
            <c:strRef>
              <c:f>'Pivot Table 1 (2)'!$C$3</c:f>
              <c:strCache>
                <c:ptCount val="1"/>
                <c:pt idx="0">
                  <c:v>Weaners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'Pivot Table 1 (2)'!$A$4:$A$13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'Pivot Table 1 (2)'!$C$4:$C$13</c:f>
              <c:numCache>
                <c:formatCode>General</c:formatCode>
                <c:ptCount val="10"/>
                <c:pt idx="0">
                  <c:v>3672947</c:v>
                </c:pt>
                <c:pt idx="1">
                  <c:v>3615425</c:v>
                </c:pt>
                <c:pt idx="2">
                  <c:v>3611195</c:v>
                </c:pt>
                <c:pt idx="3">
                  <c:v>3623490</c:v>
                </c:pt>
                <c:pt idx="4">
                  <c:v>3628216</c:v>
                </c:pt>
                <c:pt idx="5">
                  <c:v>3627026</c:v>
                </c:pt>
                <c:pt idx="6">
                  <c:v>3622945</c:v>
                </c:pt>
                <c:pt idx="7">
                  <c:v>3617817</c:v>
                </c:pt>
                <c:pt idx="8">
                  <c:v>3612644</c:v>
                </c:pt>
                <c:pt idx="9">
                  <c:v>3607918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DC-274E-A398-FE5B90904317}"/>
            </c:ext>
          </c:extLst>
        </c:ser>
        <c:ser>
          <c:idx val="2"/>
          <c:order val="2"/>
          <c:tx>
            <c:strRef>
              <c:f>'Pivot Table 1 (2)'!$D$3</c:f>
              <c:strCache>
                <c:ptCount val="1"/>
                <c:pt idx="0">
                  <c:v>Growers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'Pivot Table 1 (2)'!$A$4:$A$13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'Pivot Table 1 (2)'!$D$4:$D$13</c:f>
              <c:numCache>
                <c:formatCode>General</c:formatCode>
                <c:ptCount val="10"/>
                <c:pt idx="0">
                  <c:v>7757407</c:v>
                </c:pt>
                <c:pt idx="1">
                  <c:v>8723345</c:v>
                </c:pt>
                <c:pt idx="2">
                  <c:v>8906166</c:v>
                </c:pt>
                <c:pt idx="3">
                  <c:v>8967337</c:v>
                </c:pt>
                <c:pt idx="4">
                  <c:v>8992047</c:v>
                </c:pt>
                <c:pt idx="5">
                  <c:v>8995996</c:v>
                </c:pt>
                <c:pt idx="6">
                  <c:v>8988675</c:v>
                </c:pt>
                <c:pt idx="7">
                  <c:v>8976295</c:v>
                </c:pt>
                <c:pt idx="8">
                  <c:v>8962512</c:v>
                </c:pt>
                <c:pt idx="9">
                  <c:v>8949278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DC-274E-A398-FE5B90904317}"/>
            </c:ext>
          </c:extLst>
        </c:ser>
        <c:ser>
          <c:idx val="3"/>
          <c:order val="3"/>
          <c:tx>
            <c:strRef>
              <c:f>'Pivot Table 1 (2)'!$E$3</c:f>
              <c:strCache>
                <c:ptCount val="1"/>
                <c:pt idx="0">
                  <c:v>Does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'Pivot Table 1 (2)'!$A$4:$A$13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'Pivot Table 1 (2)'!$E$4:$E$13</c:f>
              <c:numCache>
                <c:formatCode>General</c:formatCode>
                <c:ptCount val="10"/>
                <c:pt idx="0">
                  <c:v>21562723</c:v>
                </c:pt>
                <c:pt idx="1">
                  <c:v>23031915</c:v>
                </c:pt>
                <c:pt idx="2">
                  <c:v>24442953</c:v>
                </c:pt>
                <c:pt idx="3">
                  <c:v>25635531</c:v>
                </c:pt>
                <c:pt idx="4">
                  <c:v>26617520</c:v>
                </c:pt>
                <c:pt idx="5">
                  <c:v>27413618</c:v>
                </c:pt>
                <c:pt idx="6">
                  <c:v>28050921</c:v>
                </c:pt>
                <c:pt idx="7">
                  <c:v>28556011</c:v>
                </c:pt>
                <c:pt idx="8">
                  <c:v>28953182</c:v>
                </c:pt>
                <c:pt idx="9">
                  <c:v>29263591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DC-274E-A398-FE5B90904317}"/>
            </c:ext>
          </c:extLst>
        </c:ser>
        <c:ser>
          <c:idx val="4"/>
          <c:order val="4"/>
          <c:tx>
            <c:strRef>
              <c:f>'Pivot Table 1 (2)'!$F$3</c:f>
              <c:strCache>
                <c:ptCount val="1"/>
                <c:pt idx="0">
                  <c:v>Bucks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'Pivot Table 1 (2)'!$A$4:$A$13</c:f>
              <c:numCache>
                <c:formatCode>General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'Pivot Table 1 (2)'!$F$4:$F$13</c:f>
              <c:numCache>
                <c:formatCode>General</c:formatCode>
                <c:ptCount val="10"/>
                <c:pt idx="0">
                  <c:v>2794452</c:v>
                </c:pt>
                <c:pt idx="1">
                  <c:v>2980847</c:v>
                </c:pt>
                <c:pt idx="2">
                  <c:v>3103030</c:v>
                </c:pt>
                <c:pt idx="3">
                  <c:v>3199459</c:v>
                </c:pt>
                <c:pt idx="4">
                  <c:v>3275770</c:v>
                </c:pt>
                <c:pt idx="5">
                  <c:v>3335557</c:v>
                </c:pt>
                <c:pt idx="6">
                  <c:v>3382088</c:v>
                </c:pt>
                <c:pt idx="7">
                  <c:v>3418141</c:v>
                </c:pt>
                <c:pt idx="8">
                  <c:v>3445986</c:v>
                </c:pt>
                <c:pt idx="9">
                  <c:v>3467442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DC-274E-A398-FE5B90904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051392"/>
        <c:axId val="1667879088"/>
      </c:lineChart>
      <c:catAx>
        <c:axId val="158805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667879088"/>
        <c:crosses val="autoZero"/>
        <c:auto val="1"/>
        <c:lblAlgn val="ctr"/>
        <c:lblOffset val="100"/>
        <c:noMultiLvlLbl val="0"/>
      </c:catAx>
      <c:valAx>
        <c:axId val="16678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Number of Goats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KE"/>
          </a:p>
        </c:txPr>
        <c:crossAx val="1588051392"/>
        <c:crosses val="autoZero"/>
        <c:crossBetween val="between"/>
        <c:dispUnits>
          <c:builtInUnit val="millions"/>
        </c:dispUnits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ln w="9525">
      <a:solidFill>
        <a:schemeClr val="tx1"/>
      </a:solidFill>
    </a:ln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4535</xdr:colOff>
      <xdr:row>10</xdr:row>
      <xdr:rowOff>29936</xdr:rowOff>
    </xdr:from>
    <xdr:to>
      <xdr:col>7</xdr:col>
      <xdr:colOff>385535</xdr:colOff>
      <xdr:row>24</xdr:row>
      <xdr:rowOff>69851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A27D0-9FFE-B4CA-5F5F-993BD76C7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561975</xdr:colOff>
      <xdr:row>0</xdr:row>
      <xdr:rowOff>19050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15874</xdr:rowOff>
    </xdr:from>
    <xdr:to>
      <xdr:col>5</xdr:col>
      <xdr:colOff>587375</xdr:colOff>
      <xdr:row>29</xdr:row>
      <xdr:rowOff>92074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2BDDAE-BA98-4BC9-A8B4-B1E189BC1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670718</xdr:colOff>
      <xdr:row>15</xdr:row>
      <xdr:rowOff>15874</xdr:rowOff>
    </xdr:from>
    <xdr:to>
      <xdr:col>10</xdr:col>
      <xdr:colOff>392905</xdr:colOff>
      <xdr:row>29</xdr:row>
      <xdr:rowOff>92074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A2B8D0-DD77-D0E8-2554-5A154525E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356393</xdr:colOff>
      <xdr:row>58</xdr:row>
      <xdr:rowOff>0</xdr:rowOff>
    </xdr:from>
    <xdr:to>
      <xdr:col>13</xdr:col>
      <xdr:colOff>889793</xdr:colOff>
      <xdr:row>72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7FFB92-B277-4A9B-A8F1-D6F96C5A0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86264</xdr:colOff>
      <xdr:row>22</xdr:row>
      <xdr:rowOff>42174</xdr:rowOff>
    </xdr:from>
    <xdr:to>
      <xdr:col>5</xdr:col>
      <xdr:colOff>440905</xdr:colOff>
      <xdr:row>36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FF0B43-086B-E7C5-0B6C-A99EA9A8C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11</xdr:col>
      <xdr:colOff>438509</xdr:colOff>
      <xdr:row>36</xdr:row>
      <xdr:rowOff>59426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3D11CD-0E21-4F99-8CDB-259FDFF3B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5</xdr:col>
      <xdr:colOff>354641</xdr:colOff>
      <xdr:row>52</xdr:row>
      <xdr:rowOff>59426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2DE486-1574-49A7-890F-E3A90B2BF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11</xdr:col>
      <xdr:colOff>438509</xdr:colOff>
      <xdr:row>52</xdr:row>
      <xdr:rowOff>59426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06162E-30C6-41B2-B127-602340FEB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15874</xdr:rowOff>
    </xdr:from>
    <xdr:to>
      <xdr:col>5</xdr:col>
      <xdr:colOff>587375</xdr:colOff>
      <xdr:row>28</xdr:row>
      <xdr:rowOff>92074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3576A-ECAB-8A40-8475-D727A29FD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670718</xdr:colOff>
      <xdr:row>14</xdr:row>
      <xdr:rowOff>15874</xdr:rowOff>
    </xdr:from>
    <xdr:to>
      <xdr:col>10</xdr:col>
      <xdr:colOff>392905</xdr:colOff>
      <xdr:row>28</xdr:row>
      <xdr:rowOff>92074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E40841-A9CA-2742-94D1-1B8D8CEAF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ia Ogamba" refreshedDate="46035.648225925928" refreshedVersion="8" recordCount="40" xr:uid="{00000000-000A-0000-FFFF-FFFF01000000}">
  <cacheSource type="worksheet">
    <worksheetSource ref="A1:K41" sheet="Forecast_Quarterly"/>
  </cacheSource>
  <cacheFields count="11">
    <cacheField name="Year" numFmtId="0">
      <sharedItems containsSemiMixedTypes="0" containsString="0" containsNumber="1" containsInteger="1" minValue="2025" maxValue="2034" count="10">
        <n v="2025"/>
        <n v="2026"/>
        <n v="2027"/>
        <n v="2028"/>
        <n v="2029"/>
        <n v="2030"/>
        <n v="2031"/>
        <n v="2032"/>
        <n v="2033"/>
        <n v="2034"/>
      </sharedItems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Year_Quarter" numFmtId="0">
      <sharedItems/>
    </cacheField>
    <cacheField name="Kids" numFmtId="3">
      <sharedItems containsSemiMixedTypes="0" containsString="0" containsNumber="1" containsInteger="1" minValue="7309595" maxValue="8006608"/>
    </cacheField>
    <cacheField name="Weaners" numFmtId="3">
      <sharedItems containsSemiMixedTypes="0" containsString="0" containsNumber="1" containsInteger="1" minValue="3527715" maxValue="3734878"/>
    </cacheField>
    <cacheField name="Growers" numFmtId="3">
      <sharedItems containsSemiMixedTypes="0" containsString="0" containsNumber="1" containsInteger="1" minValue="5292374" maxValue="9077105"/>
    </cacheField>
    <cacheField name="Does" numFmtId="3">
      <sharedItems containsSemiMixedTypes="0" containsString="0" containsNumber="1" containsInteger="1" minValue="21036878" maxValue="29263591"/>
    </cacheField>
    <cacheField name="Bucks" numFmtId="3">
      <sharedItems containsSemiMixedTypes="0" containsString="0" containsNumber="1" containsInteger="1" minValue="2505170" maxValue="3487095"/>
    </cacheField>
    <cacheField name="Total_Population" numFmtId="3">
      <sharedItems containsSemiMixedTypes="0" containsString="0" containsNumber="1" containsInteger="1" minValue="37776630" maxValue="52905013"/>
    </cacheField>
    <cacheField name="Meat_Production" numFmtId="4">
      <sharedItems containsSemiMixedTypes="0" containsString="0" containsNumber="1" minValue="12890496.640000001" maxValue="28114288.359999999"/>
    </cacheField>
    <cacheField name="Milk_Production" numFmtId="4">
      <sharedItems containsSemiMixedTypes="0" containsString="0" containsNumber="1" minValue="92562264.459999993" maxValue="128759800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ia Ogamba" refreshedDate="46035.648226041667" refreshedVersion="8" recordCount="40" xr:uid="{00000000-000A-0000-FFFF-FFFF00000000}">
  <cacheSource type="worksheet">
    <worksheetSource ref="A1:L41" sheet="Forecast_Quarterly"/>
  </cacheSource>
  <cacheFields count="12">
    <cacheField name="Year" numFmtId="0">
      <sharedItems containsSemiMixedTypes="0" containsString="0" containsNumber="1" containsInteger="1" minValue="2025" maxValue="2034" count="10">
        <n v="2025"/>
        <n v="2026"/>
        <n v="2027"/>
        <n v="2028"/>
        <n v="2029"/>
        <n v="2030"/>
        <n v="2031"/>
        <n v="2032"/>
        <n v="2033"/>
        <n v="2034"/>
      </sharedItems>
    </cacheField>
    <cacheField name="Quarter" numFmtId="0">
      <sharedItems containsSemiMixedTypes="0" containsString="0" containsNumber="1" containsInteger="1" minValue="1" maxValue="4"/>
    </cacheField>
    <cacheField name="Year_Quarter" numFmtId="0">
      <sharedItems/>
    </cacheField>
    <cacheField name="Kids" numFmtId="3">
      <sharedItems containsSemiMixedTypes="0" containsString="0" containsNumber="1" containsInteger="1" minValue="7309595" maxValue="8006608"/>
    </cacheField>
    <cacheField name="Weaners" numFmtId="3">
      <sharedItems containsSemiMixedTypes="0" containsString="0" containsNumber="1" containsInteger="1" minValue="3527715" maxValue="3734878"/>
    </cacheField>
    <cacheField name="Growers" numFmtId="3">
      <sharedItems containsSemiMixedTypes="0" containsString="0" containsNumber="1" containsInteger="1" minValue="5292374" maxValue="9077105"/>
    </cacheField>
    <cacheField name="Does" numFmtId="3">
      <sharedItems containsSemiMixedTypes="0" containsString="0" containsNumber="1" containsInteger="1" minValue="21036878" maxValue="29263591"/>
    </cacheField>
    <cacheField name="Bucks" numFmtId="3">
      <sharedItems containsSemiMixedTypes="0" containsString="0" containsNumber="1" containsInteger="1" minValue="2505170" maxValue="3487095"/>
    </cacheField>
    <cacheField name="Total_Population" numFmtId="3">
      <sharedItems containsSemiMixedTypes="0" containsString="0" containsNumber="1" containsInteger="1" minValue="37776630" maxValue="52905013"/>
    </cacheField>
    <cacheField name="Meat_Production" numFmtId="4">
      <sharedItems containsSemiMixedTypes="0" containsString="0" containsNumber="1" minValue="12890496.640000001" maxValue="28114288.359999999"/>
    </cacheField>
    <cacheField name="Milk_Production" numFmtId="4">
      <sharedItems containsSemiMixedTypes="0" containsString="0" containsNumber="1" minValue="92562264.459999993" maxValue="128759800.78"/>
    </cacheField>
    <cacheField name="Feed_Intake" numFmtId="4">
      <sharedItems containsSemiMixedTypes="0" containsString="0" containsNumber="1" minValue="62336046.93" maxValue="86277169.76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s v="2025 Q1"/>
    <n v="7504611"/>
    <n v="3527715"/>
    <n v="5292374"/>
    <n v="21140028"/>
    <n v="2505170"/>
    <n v="37776630"/>
    <n v="12890496.640000001"/>
    <n v="93016121.939999998"/>
  </r>
  <r>
    <x v="0"/>
    <x v="1"/>
    <s v="2025 Q2"/>
    <n v="8006608"/>
    <n v="3567649"/>
    <n v="6301874"/>
    <n v="21036878"/>
    <n v="2613540"/>
    <n v="39969899"/>
    <n v="20684794.829999998"/>
    <n v="92562264.459999993"/>
  </r>
  <r>
    <x v="0"/>
    <x v="2"/>
    <s v="2025 Q3"/>
    <n v="7483396"/>
    <n v="3734878"/>
    <n v="7198855"/>
    <n v="21284042"/>
    <n v="2742172"/>
    <n v="41526548"/>
    <n v="15464084.34"/>
    <n v="93649786.989999995"/>
  </r>
  <r>
    <x v="0"/>
    <x v="3"/>
    <s v="2025 Q4"/>
    <n v="7732511"/>
    <n v="3672947"/>
    <n v="7757407"/>
    <n v="21562723"/>
    <n v="2794452"/>
    <n v="42443343"/>
    <n v="17271045.699999999"/>
    <n v="94875981.030000001"/>
  </r>
  <r>
    <x v="1"/>
    <x v="0"/>
    <s v="2026 Q1"/>
    <n v="7513152"/>
    <n v="3716936"/>
    <n v="8239083"/>
    <n v="22031237"/>
    <n v="2883181"/>
    <n v="43520040"/>
    <n v="13928792.33"/>
    <n v="96937441.870000005"/>
  </r>
  <r>
    <x v="1"/>
    <x v="1"/>
    <s v="2026 Q2"/>
    <n v="7799491"/>
    <n v="3653536"/>
    <n v="8393017"/>
    <n v="22230817"/>
    <n v="2897326"/>
    <n v="44383588"/>
    <n v="22248900.329999998"/>
    <n v="97815594.909999996"/>
  </r>
  <r>
    <x v="1"/>
    <x v="2"/>
    <s v="2026 Q3"/>
    <n v="7309595"/>
    <n v="3717085"/>
    <n v="8648762"/>
    <n v="22663290"/>
    <n v="2967530"/>
    <n v="44974187"/>
    <n v="16566272.49"/>
    <n v="99718475.099999994"/>
  </r>
  <r>
    <x v="1"/>
    <x v="3"/>
    <s v="2026 Q4"/>
    <n v="7632521"/>
    <n v="3615425"/>
    <n v="8723345"/>
    <n v="23031915"/>
    <n v="2980847"/>
    <n v="45306262"/>
    <n v="18438565.07"/>
    <n v="101340427.34999999"/>
  </r>
  <r>
    <x v="2"/>
    <x v="0"/>
    <s v="2027 Q1"/>
    <n v="7473537"/>
    <n v="3660196"/>
    <n v="8875735"/>
    <n v="23538728"/>
    <n v="3045388"/>
    <n v="45984053"/>
    <n v="14818151.140000001"/>
    <n v="103570404.81999999"/>
  </r>
  <r>
    <x v="2"/>
    <x v="1"/>
    <s v="2027 Q2"/>
    <n v="7809902"/>
    <n v="3614066"/>
    <n v="8799884"/>
    <n v="23717425"/>
    <n v="3040273"/>
    <n v="46593583"/>
    <n v="23590394.93"/>
    <n v="104356669.44"/>
  </r>
  <r>
    <x v="2"/>
    <x v="2"/>
    <s v="2027 Q3"/>
    <n v="7337935"/>
    <n v="3698171"/>
    <n v="8917908"/>
    <n v="24120460"/>
    <n v="3099200"/>
    <n v="46981550"/>
    <n v="17507248.75"/>
    <n v="106130024.15000001"/>
  </r>
  <r>
    <x v="2"/>
    <x v="3"/>
    <s v="2027 Q4"/>
    <n v="7675394"/>
    <n v="3611195"/>
    <n v="8906166"/>
    <n v="24442953"/>
    <n v="3103030"/>
    <n v="47173674"/>
    <n v="19428585.289999999"/>
    <n v="107548991.06999999"/>
  </r>
  <r>
    <x v="3"/>
    <x v="0"/>
    <s v="2028 Q1"/>
    <n v="7512735"/>
    <n v="3666402"/>
    <n v="9007635"/>
    <n v="24905411"/>
    <n v="3161019"/>
    <n v="47738737"/>
    <n v="15567349.779999999"/>
    <n v="109583808.41"/>
  </r>
  <r>
    <x v="3"/>
    <x v="1"/>
    <s v="2028 Q2"/>
    <n v="7851828"/>
    <n v="3624670"/>
    <n v="8897061"/>
    <n v="25018995"/>
    <n v="3147989"/>
    <n v="48253202"/>
    <n v="24714689.43"/>
    <n v="110083579.52"/>
  </r>
  <r>
    <x v="3"/>
    <x v="2"/>
    <s v="2028 Q3"/>
    <n v="7370223"/>
    <n v="3711433"/>
    <n v="8994443"/>
    <n v="25369034"/>
    <n v="3201524"/>
    <n v="48540544"/>
    <n v="18291479.579999998"/>
    <n v="111623750.06999999"/>
  </r>
  <r>
    <x v="3"/>
    <x v="3"/>
    <s v="2028 Q4"/>
    <n v="7705351"/>
    <n v="3623490"/>
    <n v="8967337"/>
    <n v="25635531"/>
    <n v="3199459"/>
    <n v="48646657"/>
    <n v="20249532.379999999"/>
    <n v="112796338.5"/>
  </r>
  <r>
    <x v="4"/>
    <x v="0"/>
    <s v="2029 Q1"/>
    <n v="7533177"/>
    <n v="3677607"/>
    <n v="9057821"/>
    <n v="26049836"/>
    <n v="3252786"/>
    <n v="49131169"/>
    <n v="16185518.59"/>
    <n v="114619279.17"/>
  </r>
  <r>
    <x v="4"/>
    <x v="1"/>
    <s v="2029 Q2"/>
    <n v="7871489"/>
    <n v="3633184"/>
    <n v="8936744"/>
    <n v="26101579"/>
    <n v="3233568"/>
    <n v="49571228"/>
    <n v="25638258.25"/>
    <n v="114846946.77"/>
  </r>
  <r>
    <x v="4"/>
    <x v="2"/>
    <s v="2029 Q3"/>
    <n v="7382611"/>
    <n v="3718488"/>
    <n v="9026366"/>
    <n v="26401935"/>
    <n v="3282667"/>
    <n v="49776564"/>
    <n v="18932882.829999998"/>
    <n v="116168512.05"/>
  </r>
  <r>
    <x v="4"/>
    <x v="3"/>
    <s v="2029 Q4"/>
    <n v="7716020"/>
    <n v="3628216"/>
    <n v="8992047"/>
    <n v="26617520"/>
    <n v="3275770"/>
    <n v="49812067"/>
    <n v="20918377.449999999"/>
    <n v="117117090.05"/>
  </r>
  <r>
    <x v="5"/>
    <x v="0"/>
    <s v="2030 Q1"/>
    <n v="7537430"/>
    <n v="3680778"/>
    <n v="9076588"/>
    <n v="26988175"/>
    <n v="3325194"/>
    <n v="50229574"/>
    <n v="16687219.99"/>
    <n v="118747970.89"/>
  </r>
  <r>
    <x v="5"/>
    <x v="1"/>
    <s v="2030 Q2"/>
    <n v="7876045"/>
    <n v="3634232"/>
    <n v="8949498"/>
    <n v="26985706"/>
    <n v="3300916"/>
    <n v="50608165"/>
    <n v="26385197.859999999"/>
    <n v="118737105.08"/>
  </r>
  <r>
    <x v="5"/>
    <x v="2"/>
    <s v="2030 Q3"/>
    <n v="7383093"/>
    <n v="3718596"/>
    <n v="9034498"/>
    <n v="27242311"/>
    <n v="3346353"/>
    <n v="50746397"/>
    <n v="19449836.199999999"/>
    <n v="119866169.42"/>
  </r>
  <r>
    <x v="5"/>
    <x v="3"/>
    <s v="2030 Q4"/>
    <n v="7715890"/>
    <n v="3627026"/>
    <n v="8995996"/>
    <n v="27413618"/>
    <n v="3335557"/>
    <n v="50724851"/>
    <n v="21455807.91"/>
    <n v="120619918.87"/>
  </r>
  <r>
    <x v="6"/>
    <x v="0"/>
    <s v="2031 Q1"/>
    <n v="7533240"/>
    <n v="3678791"/>
    <n v="9077105"/>
    <n v="27746289"/>
    <n v="3381804"/>
    <n v="51088088"/>
    <n v="17089125.75"/>
    <n v="122083672.58"/>
  </r>
  <r>
    <x v="6"/>
    <x v="1"/>
    <s v="2031 Q2"/>
    <n v="7872783"/>
    <n v="3631066"/>
    <n v="8946766"/>
    <n v="27697718"/>
    <n v="3353481"/>
    <n v="51417230"/>
    <n v="26981914.039999999"/>
    <n v="121869959.84999999"/>
  </r>
  <r>
    <x v="6"/>
    <x v="2"/>
    <s v="2031 Q3"/>
    <n v="7377714"/>
    <n v="3715073"/>
    <n v="9029278"/>
    <n v="27917015"/>
    <n v="3395974"/>
    <n v="51501813"/>
    <n v="19861704.27"/>
    <n v="122834865.61"/>
  </r>
  <r>
    <x v="6"/>
    <x v="3"/>
    <s v="2031 Q4"/>
    <n v="7710509"/>
    <n v="3622945"/>
    <n v="8988675"/>
    <n v="28050921"/>
    <n v="3382088"/>
    <n v="51435054"/>
    <n v="21882966.550000001"/>
    <n v="123424054.41"/>
  </r>
  <r>
    <x v="7"/>
    <x v="0"/>
    <s v="2032 Q1"/>
    <n v="7525309"/>
    <n v="3674416"/>
    <n v="9068078"/>
    <n v="28351522"/>
    <n v="3425801"/>
    <n v="51755139"/>
    <n v="17407807.899999999"/>
    <n v="124746697.44"/>
  </r>
  <r>
    <x v="7"/>
    <x v="1"/>
    <s v="2032 Q2"/>
    <n v="7866012"/>
    <n v="3626104"/>
    <n v="8936296"/>
    <n v="28264686"/>
    <n v="3394288"/>
    <n v="52045126"/>
    <n v="27454048.649999999"/>
    <n v="124364618.81999999"/>
  </r>
  <r>
    <x v="7"/>
    <x v="2"/>
    <s v="2032 Q3"/>
    <n v="7369971"/>
    <n v="3710085"/>
    <n v="9017706"/>
    <n v="28452969"/>
    <n v="3434448"/>
    <n v="52087386"/>
    <n v="20186894.850000001"/>
    <n v="125193063.03"/>
  </r>
  <r>
    <x v="7"/>
    <x v="3"/>
    <s v="2032 Q4"/>
    <n v="7703070"/>
    <n v="3617817"/>
    <n v="8976295"/>
    <n v="28556011"/>
    <n v="3418141"/>
    <n v="51985180"/>
    <n v="22219600.350000001"/>
    <n v="125646447.12"/>
  </r>
  <r>
    <x v="8"/>
    <x v="0"/>
    <s v="2033 Q1"/>
    <n v="7516280"/>
    <n v="3669268"/>
    <n v="9055053"/>
    <n v="28830161"/>
    <n v="3459855"/>
    <n v="52271333"/>
    <n v="17658488.68"/>
    <n v="126852707.89"/>
  </r>
  <r>
    <x v="8"/>
    <x v="1"/>
    <s v="2033 Q2"/>
    <n v="7858164"/>
    <n v="3620712"/>
    <n v="8922888"/>
    <n v="28712161"/>
    <n v="3425849"/>
    <n v="52530617"/>
    <n v="27824816.219999999"/>
    <n v="126333508.38"/>
  </r>
  <r>
    <x v="8"/>
    <x v="2"/>
    <s v="2033 Q3"/>
    <n v="7361792"/>
    <n v="3704835"/>
    <n v="9004004"/>
    <n v="28875163"/>
    <n v="3464178"/>
    <n v="52539774"/>
    <n v="20441848.100000001"/>
    <n v="127050715.76000001"/>
  </r>
  <r>
    <x v="8"/>
    <x v="3"/>
    <s v="2033 Q4"/>
    <n v="7695318"/>
    <n v="3612644"/>
    <n v="8962512"/>
    <n v="28953182"/>
    <n v="3445986"/>
    <n v="52409972"/>
    <n v="22483142.739999998"/>
    <n v="127394001.38"/>
  </r>
  <r>
    <x v="9"/>
    <x v="0"/>
    <s v="2034 Q1"/>
    <n v="7507545"/>
    <n v="3664212"/>
    <n v="9041217"/>
    <n v="29205901"/>
    <n v="3486137"/>
    <n v="52669642"/>
    <n v="17854458.57"/>
    <n v="128505966.28"/>
  </r>
  <r>
    <x v="9"/>
    <x v="1"/>
    <s v="2034 Q2"/>
    <n v="7850517"/>
    <n v="3615601"/>
    <n v="8909231"/>
    <n v="29062887"/>
    <n v="3450193"/>
    <n v="52905013"/>
    <n v="28114288.359999999"/>
    <n v="127876702.8"/>
  </r>
  <r>
    <x v="9"/>
    <x v="2"/>
    <s v="2034 Q3"/>
    <n v="7354151"/>
    <n v="3699935"/>
    <n v="8990483"/>
    <n v="29205585"/>
    <n v="3487095"/>
    <n v="52888430"/>
    <n v="20640646.780000001"/>
    <n v="128504574"/>
  </r>
  <r>
    <x v="9"/>
    <x v="3"/>
    <s v="2034 Q4"/>
    <n v="7688129"/>
    <n v="3607918"/>
    <n v="8949278"/>
    <n v="29263591"/>
    <n v="3467442"/>
    <n v="52737249"/>
    <n v="22688408.41"/>
    <n v="128759800.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1"/>
    <s v="2025 Q1"/>
    <n v="7504611"/>
    <n v="3527715"/>
    <n v="5292374"/>
    <n v="21140028"/>
    <n v="2505170"/>
    <n v="37776630"/>
    <n v="12890496.640000001"/>
    <n v="93016121.939999998"/>
    <n v="62336046.93"/>
  </r>
  <r>
    <x v="0"/>
    <n v="2"/>
    <s v="2025 Q2"/>
    <n v="8006608"/>
    <n v="3567649"/>
    <n v="6301874"/>
    <n v="21036878"/>
    <n v="2613540"/>
    <n v="39969899"/>
    <n v="20684794.829999998"/>
    <n v="92562264.459999993"/>
    <n v="63944721.18"/>
  </r>
  <r>
    <x v="0"/>
    <n v="3"/>
    <s v="2025 Q3"/>
    <n v="7483396"/>
    <n v="3734878"/>
    <n v="7198855"/>
    <n v="21284042"/>
    <n v="2742172"/>
    <n v="41526548"/>
    <n v="15464084.34"/>
    <n v="93649786.989999995"/>
    <n v="65549203.689999998"/>
  </r>
  <r>
    <x v="0"/>
    <n v="4"/>
    <s v="2025 Q4"/>
    <n v="7732511"/>
    <n v="3672947"/>
    <n v="7757407"/>
    <n v="21562723"/>
    <n v="2794452"/>
    <n v="42443343"/>
    <n v="17271045.699999999"/>
    <n v="94875981.030000001"/>
    <n v="67118132.099999994"/>
  </r>
  <r>
    <x v="1"/>
    <n v="1"/>
    <s v="2026 Q1"/>
    <n v="7513152"/>
    <n v="3716936"/>
    <n v="8239083"/>
    <n v="22031237"/>
    <n v="2883181"/>
    <n v="43520040"/>
    <n v="13928792.33"/>
    <n v="96937441.870000005"/>
    <n v="68762337.370000005"/>
  </r>
  <r>
    <x v="1"/>
    <n v="2"/>
    <s v="2026 Q2"/>
    <n v="7799491"/>
    <n v="3653536"/>
    <n v="8393017"/>
    <n v="22230817"/>
    <n v="2897326"/>
    <n v="44383588"/>
    <n v="22248900.329999998"/>
    <n v="97815594.909999996"/>
    <n v="69592625.810000002"/>
  </r>
  <r>
    <x v="1"/>
    <n v="3"/>
    <s v="2026 Q3"/>
    <n v="7309595"/>
    <n v="3717085"/>
    <n v="8648762"/>
    <n v="22663290"/>
    <n v="2967530"/>
    <n v="44974187"/>
    <n v="16566272.49"/>
    <n v="99718475.099999994"/>
    <n v="70658124.510000005"/>
  </r>
  <r>
    <x v="1"/>
    <n v="4"/>
    <s v="2026 Q4"/>
    <n v="7632521"/>
    <n v="3615425"/>
    <n v="8723345"/>
    <n v="23031915"/>
    <n v="2980847"/>
    <n v="45306262"/>
    <n v="18438565.07"/>
    <n v="101340427.34999999"/>
    <n v="71761786.870000005"/>
  </r>
  <r>
    <x v="2"/>
    <n v="1"/>
    <s v="2027 Q1"/>
    <n v="7473537"/>
    <n v="3660196"/>
    <n v="8875735"/>
    <n v="23538728"/>
    <n v="3045388"/>
    <n v="45984053"/>
    <n v="14818151.140000001"/>
    <n v="103570404.81999999"/>
    <n v="73057723.590000004"/>
  </r>
  <r>
    <x v="2"/>
    <n v="2"/>
    <s v="2027 Q2"/>
    <n v="7809902"/>
    <n v="3614066"/>
    <n v="8799884"/>
    <n v="23717425"/>
    <n v="3040273"/>
    <n v="46593583"/>
    <n v="23590394.93"/>
    <n v="104356669.44"/>
    <n v="73548816.989999995"/>
  </r>
  <r>
    <x v="2"/>
    <n v="3"/>
    <s v="2027 Q3"/>
    <n v="7337935"/>
    <n v="3698171"/>
    <n v="8917908"/>
    <n v="24120460"/>
    <n v="3099200"/>
    <n v="46981550"/>
    <n v="17507248.75"/>
    <n v="106130024.15000001"/>
    <n v="74369602.340000004"/>
  </r>
  <r>
    <x v="2"/>
    <n v="4"/>
    <s v="2027 Q4"/>
    <n v="7675394"/>
    <n v="3611195"/>
    <n v="8906166"/>
    <n v="24442953"/>
    <n v="3103030"/>
    <n v="47173674"/>
    <n v="19428585.289999999"/>
    <n v="107548991.06999999"/>
    <n v="75259379.019999996"/>
  </r>
  <r>
    <x v="3"/>
    <n v="1"/>
    <s v="2028 Q1"/>
    <n v="7512735"/>
    <n v="3666402"/>
    <n v="9007635"/>
    <n v="24905411"/>
    <n v="3161019"/>
    <n v="47738737"/>
    <n v="15567349.779999999"/>
    <n v="109583808.41"/>
    <n v="76383019.379999995"/>
  </r>
  <r>
    <x v="3"/>
    <n v="2"/>
    <s v="2028 Q2"/>
    <n v="7851828"/>
    <n v="3624670"/>
    <n v="8897061"/>
    <n v="25018995"/>
    <n v="3147989"/>
    <n v="48253202"/>
    <n v="24714689.43"/>
    <n v="110083579.52"/>
    <n v="76679085.090000004"/>
  </r>
  <r>
    <x v="3"/>
    <n v="3"/>
    <s v="2028 Q3"/>
    <n v="7370223"/>
    <n v="3711433"/>
    <n v="8994443"/>
    <n v="25369034"/>
    <n v="3201524"/>
    <n v="48540544"/>
    <n v="18291479.579999998"/>
    <n v="111623750.06999999"/>
    <n v="77344446.439999998"/>
  </r>
  <r>
    <x v="3"/>
    <n v="4"/>
    <s v="2028 Q4"/>
    <n v="7705351"/>
    <n v="3623490"/>
    <n v="8967337"/>
    <n v="25635531"/>
    <n v="3199459"/>
    <n v="48646657"/>
    <n v="20249532.379999999"/>
    <n v="112796338.5"/>
    <n v="78082494.439999998"/>
  </r>
  <r>
    <x v="4"/>
    <n v="1"/>
    <s v="2029 Q1"/>
    <n v="7533177"/>
    <n v="3677607"/>
    <n v="9057821"/>
    <n v="26049836"/>
    <n v="3252786"/>
    <n v="49131169"/>
    <n v="16185518.59"/>
    <n v="114619279.17"/>
    <n v="79074052.010000005"/>
  </r>
  <r>
    <x v="4"/>
    <n v="2"/>
    <s v="2029 Q2"/>
    <n v="7871489"/>
    <n v="3633184"/>
    <n v="8936744"/>
    <n v="26101579"/>
    <n v="3233568"/>
    <n v="49571228"/>
    <n v="25638258.25"/>
    <n v="114846946.77"/>
    <n v="79212316.489999995"/>
  </r>
  <r>
    <x v="4"/>
    <n v="3"/>
    <s v="2029 Q3"/>
    <n v="7382611"/>
    <n v="3718488"/>
    <n v="9026366"/>
    <n v="26401935"/>
    <n v="3282667"/>
    <n v="49776564"/>
    <n v="18932882.829999998"/>
    <n v="116168512.05"/>
    <n v="79748241.049999997"/>
  </r>
  <r>
    <x v="4"/>
    <n v="4"/>
    <s v="2029 Q4"/>
    <n v="7716020"/>
    <n v="3628216"/>
    <n v="8992047"/>
    <n v="26617520"/>
    <n v="3275770"/>
    <n v="49812067"/>
    <n v="20918377.449999999"/>
    <n v="117117090.05"/>
    <n v="80357863.950000003"/>
  </r>
  <r>
    <x v="5"/>
    <n v="1"/>
    <s v="2030 Q1"/>
    <n v="7537430"/>
    <n v="3680778"/>
    <n v="9076588"/>
    <n v="26988175"/>
    <n v="3325194"/>
    <n v="50229574"/>
    <n v="16687219.99"/>
    <n v="118747970.89"/>
    <n v="81236769.819999993"/>
  </r>
  <r>
    <x v="5"/>
    <n v="2"/>
    <s v="2030 Q2"/>
    <n v="7876045"/>
    <n v="3634232"/>
    <n v="8949498"/>
    <n v="26985706"/>
    <n v="3300916"/>
    <n v="50608165"/>
    <n v="26385197.859999999"/>
    <n v="118737105.08"/>
    <n v="81242166.700000003"/>
  </r>
  <r>
    <x v="5"/>
    <n v="3"/>
    <s v="2030 Q3"/>
    <n v="7383093"/>
    <n v="3718596"/>
    <n v="9034498"/>
    <n v="27242311"/>
    <n v="3346353"/>
    <n v="50746397"/>
    <n v="19449836.199999999"/>
    <n v="119866169.42"/>
    <n v="81669036.319999993"/>
  </r>
  <r>
    <x v="5"/>
    <n v="4"/>
    <s v="2030 Q4"/>
    <n v="7715890"/>
    <n v="3627026"/>
    <n v="8995996"/>
    <n v="27413618"/>
    <n v="3335557"/>
    <n v="50724851"/>
    <n v="21455807.91"/>
    <n v="120619918.87"/>
    <n v="82170956.310000002"/>
  </r>
  <r>
    <x v="6"/>
    <n v="1"/>
    <s v="2031 Q1"/>
    <n v="7533240"/>
    <n v="3678791"/>
    <n v="9077105"/>
    <n v="27746289"/>
    <n v="3381804"/>
    <n v="51088088"/>
    <n v="17089125.75"/>
    <n v="122083672.58"/>
    <n v="82955626.150000006"/>
  </r>
  <r>
    <x v="6"/>
    <n v="2"/>
    <s v="2031 Q2"/>
    <n v="7872783"/>
    <n v="3631066"/>
    <n v="8946766"/>
    <n v="27697718"/>
    <n v="3353481"/>
    <n v="51417230"/>
    <n v="26981914.039999999"/>
    <n v="121869959.84999999"/>
    <n v="82851492.260000005"/>
  </r>
  <r>
    <x v="6"/>
    <n v="3"/>
    <s v="2031 Q3"/>
    <n v="7377714"/>
    <n v="3715073"/>
    <n v="9029278"/>
    <n v="27917015"/>
    <n v="3395974"/>
    <n v="51501813"/>
    <n v="19861704.27"/>
    <n v="122834865.61"/>
    <n v="83188576.450000003"/>
  </r>
  <r>
    <x v="6"/>
    <n v="4"/>
    <s v="2031 Q4"/>
    <n v="7710509"/>
    <n v="3622945"/>
    <n v="8988675"/>
    <n v="28050921"/>
    <n v="3382088"/>
    <n v="51435054"/>
    <n v="21882966.550000001"/>
    <n v="123424054.41"/>
    <n v="83602207.310000002"/>
  </r>
  <r>
    <x v="7"/>
    <n v="1"/>
    <s v="2032 Q1"/>
    <n v="7525309"/>
    <n v="3674416"/>
    <n v="9068078"/>
    <n v="28351522"/>
    <n v="3425801"/>
    <n v="51755139"/>
    <n v="17407807.899999999"/>
    <n v="124746697.44"/>
    <n v="84309795.719999999"/>
  </r>
  <r>
    <x v="7"/>
    <n v="2"/>
    <s v="2032 Q2"/>
    <n v="7866012"/>
    <n v="3626104"/>
    <n v="8936296"/>
    <n v="28264686"/>
    <n v="3394288"/>
    <n v="52045126"/>
    <n v="27454048.649999999"/>
    <n v="124364618.81999999"/>
    <n v="84117021.659999996"/>
  </r>
  <r>
    <x v="7"/>
    <n v="3"/>
    <s v="2032 Q3"/>
    <n v="7369971"/>
    <n v="3710085"/>
    <n v="9017706"/>
    <n v="28452969"/>
    <n v="3434448"/>
    <n v="52087386"/>
    <n v="20186894.850000001"/>
    <n v="125193063.03"/>
    <n v="84381514.129999995"/>
  </r>
  <r>
    <x v="7"/>
    <n v="4"/>
    <s v="2032 Q4"/>
    <n v="7703070"/>
    <n v="3617817"/>
    <n v="8976295"/>
    <n v="28556011"/>
    <n v="3418141"/>
    <n v="51985180"/>
    <n v="22219600.350000001"/>
    <n v="125646447.12"/>
    <n v="84723986.120000005"/>
  </r>
  <r>
    <x v="8"/>
    <n v="1"/>
    <s v="2033 Q1"/>
    <n v="7516280"/>
    <n v="3669268"/>
    <n v="9055053"/>
    <n v="28830161"/>
    <n v="3459855"/>
    <n v="52271333"/>
    <n v="17658488.68"/>
    <n v="126852707.89"/>
    <n v="85369548.150000006"/>
  </r>
  <r>
    <x v="8"/>
    <n v="2"/>
    <s v="2033 Q2"/>
    <n v="7858164"/>
    <n v="3620712"/>
    <n v="8922888"/>
    <n v="28712161"/>
    <n v="3425849"/>
    <n v="52530617"/>
    <n v="27824816.219999999"/>
    <n v="126333508.38"/>
    <n v="85106003.060000002"/>
  </r>
  <r>
    <x v="8"/>
    <n v="3"/>
    <s v="2033 Q3"/>
    <n v="7361792"/>
    <n v="3704835"/>
    <n v="9004004"/>
    <n v="28875163"/>
    <n v="3464178"/>
    <n v="52539774"/>
    <n v="20441848.100000001"/>
    <n v="127050715.76000001"/>
    <n v="85312579.459999993"/>
  </r>
  <r>
    <x v="8"/>
    <n v="4"/>
    <s v="2033 Q4"/>
    <n v="7695318"/>
    <n v="3612644"/>
    <n v="8962512"/>
    <n v="28953182"/>
    <n v="3445986"/>
    <n v="52409972"/>
    <n v="22483142.739999998"/>
    <n v="127394001.38"/>
    <n v="85598410.329999998"/>
  </r>
  <r>
    <x v="9"/>
    <n v="1"/>
    <s v="2034 Q1"/>
    <n v="7507545"/>
    <n v="3664212"/>
    <n v="9041217"/>
    <n v="29205901"/>
    <n v="3486137"/>
    <n v="52669642"/>
    <n v="17854458.57"/>
    <n v="128505966.28"/>
    <n v="86194660.430000007"/>
  </r>
  <r>
    <x v="9"/>
    <n v="2"/>
    <s v="2034 Q2"/>
    <n v="7850517"/>
    <n v="3615601"/>
    <n v="8909231"/>
    <n v="29062887"/>
    <n v="3450193"/>
    <n v="52905013"/>
    <n v="28114288.359999999"/>
    <n v="127876702.8"/>
    <n v="85875178.659999996"/>
  </r>
  <r>
    <x v="9"/>
    <n v="3"/>
    <s v="2034 Q3"/>
    <n v="7354151"/>
    <n v="3699935"/>
    <n v="8990483"/>
    <n v="29205585"/>
    <n v="3487095"/>
    <n v="52888430"/>
    <n v="20640646.780000001"/>
    <n v="128504574"/>
    <n v="86036004.340000004"/>
  </r>
  <r>
    <x v="9"/>
    <n v="4"/>
    <s v="2034 Q4"/>
    <n v="7688129"/>
    <n v="3607918"/>
    <n v="8949278"/>
    <n v="29263591"/>
    <n v="3467442"/>
    <n v="52737249"/>
    <n v="22688408.41"/>
    <n v="128759800.78"/>
    <n v="86277169.76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2" cacheId="63" applyNumberFormats="0" applyBorderFormats="0" applyFontFormats="0" applyPatternFormats="0" applyAlignmentFormats="0" applyWidthHeightFormats="0" dataCaption="" updatedVersion="8" compact="0" compactData="0">
  <location ref="A1:D13" firstHeaderRow="1" firstDataRow="2" firstDataCol="1"/>
  <pivotFields count="12">
    <pivotField name="year" axis="axisRow" compact="0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rter" compact="0" outline="0" multipleItemSelectionAllowed="1" showAll="0"/>
    <pivotField name="year_quarter" compact="0" outline="0" multipleItemSelectionAllowed="1" showAll="0"/>
    <pivotField name="kids" compact="0" numFmtId="3" outline="0" multipleItemSelectionAllowed="1" showAll="0"/>
    <pivotField name="weaners" compact="0" numFmtId="3" outline="0" multipleItemSelectionAllowed="1" showAll="0"/>
    <pivotField name="growers" compact="0" numFmtId="3" outline="0" multipleItemSelectionAllowed="1" showAll="0"/>
    <pivotField name="does" compact="0" numFmtId="3" outline="0" multipleItemSelectionAllowed="1" showAll="0"/>
    <pivotField name="bucks" compact="0" numFmtId="3" outline="0" multipleItemSelectionAllowed="1" showAll="0"/>
    <pivotField name="total_population" compact="0" numFmtId="3" outline="0" multipleItemSelectionAllowed="1" showAll="0"/>
    <pivotField name="meat_production" dataField="1" compact="0" numFmtId="4" outline="0" multipleItemSelectionAllowed="1" showAll="0"/>
    <pivotField name="milk_production" dataField="1" compact="0" numFmtId="4" outline="0" multipleItemSelectionAllowed="1" showAll="0"/>
    <pivotField name="feed_intake" dataField="1" compact="0" numFmtId="4" outline="0" multipleItemSelectionAllowe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eat_production" fld="9" baseField="0"/>
    <dataField name="SUM of milk_production" fld="10" baseField="0"/>
    <dataField name="SUM of feed_intake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 Table 1" cacheId="59" applyNumberFormats="0" applyBorderFormats="0" applyFontFormats="0" applyPatternFormats="0" applyAlignmentFormats="0" applyWidthHeightFormats="0" dataCaption="" updatedVersion="8" rowGrandTotals="0" compact="0" compactData="0" chartFormat="23">
  <location ref="A3:F14" firstHeaderRow="1" firstDataRow="2" firstDataCol="1" rowPageCount="1" colPageCount="1"/>
  <pivotFields count="11">
    <pivotField name="year" axis="axisRow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rter" axis="axisPage" compact="0" outline="0" multipleItemSelectionAllowed="1" showAll="0">
      <items count="5">
        <item h="1" x="0"/>
        <item h="1" x="1"/>
        <item h="1" x="2"/>
        <item x="3"/>
        <item t="default"/>
      </items>
    </pivotField>
    <pivotField name="year_quarter" compact="0" outline="0" multipleItemSelectionAllowed="1" showAll="0"/>
    <pivotField name="kids" dataField="1" compact="0" numFmtId="3" outline="0" multipleItemSelectionAllowed="1" showAll="0"/>
    <pivotField name="weaners" dataField="1" compact="0" numFmtId="3" outline="0" multipleItemSelectionAllowed="1" showAll="0"/>
    <pivotField name="growers" dataField="1" compact="0" numFmtId="3" outline="0" multipleItemSelectionAllowed="1" showAll="0"/>
    <pivotField name="does" dataField="1" compact="0" numFmtId="3" outline="0" multipleItemSelectionAllowed="1" showAll="0"/>
    <pivotField name="bucks" dataField="1" compact="0" numFmtId="3" outline="0" multipleItemSelectionAllowed="1" showAll="0"/>
    <pivotField name="total_population" compact="0" numFmtId="3" outline="0" multipleItemSelectionAllowed="1" showAll="0"/>
    <pivotField name="meat_production" compact="0" numFmtId="4" outline="0" multipleItemSelectionAllowed="1" showAll="0"/>
    <pivotField name="milk_production" compact="0" numFmtId="4" outline="0" multipleItemSelectionAllowe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0"/>
  </pageFields>
  <dataFields count="5">
    <dataField name="kids" fld="3" baseField="0"/>
    <dataField name="weaners" fld="4" baseField="0"/>
    <dataField name="growers" fld="5" baseField="0"/>
    <dataField name="does" fld="6" baseField="0"/>
    <dataField name="bucks" fld="7" baseField="0"/>
  </dataFields>
  <chartFormats count="1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8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8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8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8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8" format="2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8" format="2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8" format="2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8" format="2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8" format="2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8" format="2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8" format="2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8" format="2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8" format="3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18" format="3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8" format="34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8" format="35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8" format="3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18" format="37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18" format="3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18" format="39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18" format="40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18" format="41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9"/>
          </reference>
        </references>
      </pivotArea>
    </chartFormat>
    <chartFormat chart="18" format="42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18" format="43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18" format="44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18" format="45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18" format="46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18" format="47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18" format="48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6"/>
          </reference>
        </references>
      </pivotArea>
    </chartFormat>
    <chartFormat chart="18" format="49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7"/>
          </reference>
        </references>
      </pivotArea>
    </chartFormat>
    <chartFormat chart="18" format="50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8"/>
          </reference>
        </references>
      </pivotArea>
    </chartFormat>
    <chartFormat chart="18" format="51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9"/>
          </reference>
        </references>
      </pivotArea>
    </chartFormat>
    <chartFormat chart="18" format="52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0"/>
          </reference>
        </references>
      </pivotArea>
    </chartFormat>
    <chartFormat chart="18" format="53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1"/>
          </reference>
        </references>
      </pivotArea>
    </chartFormat>
    <chartFormat chart="18" format="54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18" format="55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3"/>
          </reference>
        </references>
      </pivotArea>
    </chartFormat>
    <chartFormat chart="18" format="56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chartFormat>
    <chartFormat chart="18" format="57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5"/>
          </reference>
        </references>
      </pivotArea>
    </chartFormat>
    <chartFormat chart="18" format="58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6"/>
          </reference>
        </references>
      </pivotArea>
    </chartFormat>
    <chartFormat chart="18" format="59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7"/>
          </reference>
        </references>
      </pivotArea>
    </chartFormat>
    <chartFormat chart="18" format="60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8"/>
          </reference>
        </references>
      </pivotArea>
    </chartFormat>
    <chartFormat chart="18" format="61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9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9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8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3"/>
          </reference>
          <reference field="0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1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3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5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6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7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8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4"/>
          </reference>
          <reference field="0" count="1" selected="0">
            <x v="9"/>
          </reference>
        </references>
      </pivotArea>
    </chartFormat>
    <chartFormat chart="2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5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6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2" format="61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120" zoomScaleNormal="120" workbookViewId="0">
      <selection activeCell="S37" sqref="S37"/>
    </sheetView>
  </sheetViews>
  <sheetFormatPr baseColWidth="10" defaultColWidth="14.5" defaultRowHeight="15" customHeight="1" x14ac:dyDescent="0.15"/>
  <cols>
    <col min="1" max="1" width="5.5" style="26" customWidth="1"/>
    <col min="2" max="2" width="10.6640625" style="26" customWidth="1"/>
    <col min="3" max="5" width="9.5" style="26" customWidth="1"/>
    <col min="6" max="6" width="10.6640625" style="26" customWidth="1"/>
    <col min="7" max="7" width="9.5" style="26" customWidth="1"/>
    <col min="8" max="8" width="13.33203125" style="26" customWidth="1"/>
    <col min="9" max="9" width="14.5" style="26" customWidth="1"/>
    <col min="10" max="26" width="8.6640625" style="26" customWidth="1"/>
    <col min="27" max="16384" width="14.5" style="26"/>
  </cols>
  <sheetData>
    <row r="1" spans="1:26" ht="14" x14ac:dyDescent="0.15">
      <c r="A1" s="23" t="s">
        <v>22</v>
      </c>
      <c r="B1" s="24" t="s">
        <v>31</v>
      </c>
      <c r="C1" s="24" t="s">
        <v>32</v>
      </c>
      <c r="D1" s="24" t="s">
        <v>33</v>
      </c>
      <c r="E1" s="24" t="s">
        <v>34</v>
      </c>
      <c r="F1" s="24" t="s">
        <v>35</v>
      </c>
      <c r="G1" s="24" t="s">
        <v>36</v>
      </c>
      <c r="H1" s="24" t="s">
        <v>37</v>
      </c>
      <c r="I1" s="24" t="s">
        <v>38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4" x14ac:dyDescent="0.15">
      <c r="A2" s="27">
        <v>2018</v>
      </c>
      <c r="B2" s="28">
        <v>25876113</v>
      </c>
      <c r="C2" s="28">
        <v>4657700</v>
      </c>
      <c r="D2" s="28">
        <v>2587611</v>
      </c>
      <c r="E2" s="28">
        <v>2587611</v>
      </c>
      <c r="F2" s="28">
        <v>14490623</v>
      </c>
      <c r="G2" s="28">
        <v>1552566</v>
      </c>
      <c r="H2" s="29">
        <v>42794548.950000003</v>
      </c>
      <c r="I2" s="29">
        <v>255034964.80000001</v>
      </c>
    </row>
    <row r="3" spans="1:26" ht="14" x14ac:dyDescent="0.15">
      <c r="A3" s="27">
        <v>2019</v>
      </c>
      <c r="B3" s="28">
        <v>34657969</v>
      </c>
      <c r="C3" s="28">
        <v>6238434</v>
      </c>
      <c r="D3" s="28">
        <v>3465796</v>
      </c>
      <c r="E3" s="28">
        <v>3465796</v>
      </c>
      <c r="F3" s="28">
        <v>19408462</v>
      </c>
      <c r="G3" s="28">
        <v>2079478</v>
      </c>
      <c r="H3" s="29">
        <v>57318205.030000001</v>
      </c>
      <c r="I3" s="29">
        <v>341588931.19999999</v>
      </c>
    </row>
    <row r="4" spans="1:26" ht="14" x14ac:dyDescent="0.15">
      <c r="A4" s="27">
        <v>2020</v>
      </c>
      <c r="B4" s="28">
        <v>35358674</v>
      </c>
      <c r="C4" s="28">
        <v>6364561</v>
      </c>
      <c r="D4" s="28">
        <v>3535867</v>
      </c>
      <c r="E4" s="28">
        <v>3535867</v>
      </c>
      <c r="F4" s="28">
        <v>19800857</v>
      </c>
      <c r="G4" s="28">
        <v>2121520</v>
      </c>
      <c r="H4" s="29">
        <v>58477045.979999997</v>
      </c>
      <c r="I4" s="29">
        <v>348495083.19999999</v>
      </c>
    </row>
    <row r="5" spans="1:26" ht="14" x14ac:dyDescent="0.15">
      <c r="A5" s="27">
        <v>2021</v>
      </c>
      <c r="B5" s="28">
        <v>33123213</v>
      </c>
      <c r="C5" s="28">
        <v>5962178</v>
      </c>
      <c r="D5" s="28">
        <v>3312321</v>
      </c>
      <c r="E5" s="28">
        <v>3312321</v>
      </c>
      <c r="F5" s="28">
        <v>18548999</v>
      </c>
      <c r="G5" s="28">
        <v>1987392</v>
      </c>
      <c r="H5" s="29">
        <v>54779982.43</v>
      </c>
      <c r="I5" s="29">
        <v>326462382.39999998</v>
      </c>
    </row>
    <row r="6" spans="1:26" ht="14" x14ac:dyDescent="0.15">
      <c r="A6" s="27">
        <v>2022</v>
      </c>
      <c r="B6" s="28">
        <v>29965055</v>
      </c>
      <c r="C6" s="28">
        <v>5393709</v>
      </c>
      <c r="D6" s="28">
        <v>2996505</v>
      </c>
      <c r="E6" s="28">
        <v>2996505</v>
      </c>
      <c r="F6" s="28">
        <v>16780430</v>
      </c>
      <c r="G6" s="28">
        <v>1797903</v>
      </c>
      <c r="H6" s="29">
        <v>49556945.850000001</v>
      </c>
      <c r="I6" s="29">
        <v>295335568</v>
      </c>
    </row>
    <row r="7" spans="1:26" ht="14" x14ac:dyDescent="0.15">
      <c r="A7" s="27">
        <v>2023</v>
      </c>
      <c r="B7" s="28">
        <v>34385998</v>
      </c>
      <c r="C7" s="28">
        <v>6189479</v>
      </c>
      <c r="D7" s="28">
        <v>3438599</v>
      </c>
      <c r="E7" s="28">
        <v>3438599</v>
      </c>
      <c r="F7" s="28">
        <v>19256158</v>
      </c>
      <c r="G7" s="28">
        <v>2063159</v>
      </c>
      <c r="H7" s="29">
        <v>56868405.439999998</v>
      </c>
      <c r="I7" s="29">
        <v>338908380.80000001</v>
      </c>
    </row>
    <row r="8" spans="1:26" ht="14" x14ac:dyDescent="0.15">
      <c r="A8" s="27">
        <v>2024</v>
      </c>
      <c r="B8" s="27">
        <v>37776633</v>
      </c>
      <c r="C8" s="27">
        <v>6799793</v>
      </c>
      <c r="D8" s="27">
        <v>3777663</v>
      </c>
      <c r="E8" s="27">
        <v>3777663</v>
      </c>
      <c r="F8" s="27">
        <v>21154914</v>
      </c>
      <c r="G8" s="27">
        <v>2266597</v>
      </c>
      <c r="H8" s="29">
        <v>62475921.469999999</v>
      </c>
      <c r="I8" s="29">
        <v>372326486.39999998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spans="7:16" ht="15.75" customHeight="1" x14ac:dyDescent="0.15"/>
    <row r="34" spans="7:16" ht="15.75" customHeight="1" x14ac:dyDescent="0.15"/>
    <row r="35" spans="7:16" ht="15.75" customHeight="1" x14ac:dyDescent="0.2">
      <c r="G35"/>
      <c r="H35"/>
      <c r="I35"/>
      <c r="J35"/>
      <c r="K35"/>
      <c r="L35"/>
      <c r="M35"/>
      <c r="N35"/>
      <c r="O35"/>
      <c r="P35"/>
    </row>
    <row r="36" spans="7:16" ht="15.75" customHeight="1" x14ac:dyDescent="0.2">
      <c r="G36"/>
      <c r="H36"/>
      <c r="I36"/>
      <c r="J36"/>
      <c r="K36"/>
      <c r="L36"/>
      <c r="M36"/>
      <c r="N36"/>
      <c r="O36"/>
      <c r="P36"/>
    </row>
    <row r="37" spans="7:16" ht="15.75" customHeight="1" x14ac:dyDescent="0.2">
      <c r="G37"/>
      <c r="H37"/>
      <c r="I37"/>
      <c r="J37"/>
      <c r="K37"/>
      <c r="L37"/>
      <c r="M37"/>
      <c r="N37"/>
      <c r="O37"/>
      <c r="P37"/>
    </row>
    <row r="38" spans="7:16" ht="15.75" customHeight="1" x14ac:dyDescent="0.2">
      <c r="G38"/>
      <c r="H38"/>
      <c r="I38"/>
      <c r="J38"/>
      <c r="K38"/>
      <c r="L38"/>
      <c r="M38"/>
      <c r="N38"/>
      <c r="O38"/>
      <c r="P38"/>
    </row>
    <row r="39" spans="7:16" ht="15.75" customHeight="1" x14ac:dyDescent="0.2">
      <c r="G39"/>
      <c r="H39"/>
      <c r="I39"/>
      <c r="J39"/>
      <c r="K39"/>
      <c r="L39"/>
      <c r="M39"/>
      <c r="N39"/>
      <c r="O39"/>
      <c r="P39"/>
    </row>
    <row r="40" spans="7:16" ht="15.75" customHeight="1" x14ac:dyDescent="0.2">
      <c r="G40"/>
      <c r="H40"/>
      <c r="I40"/>
      <c r="J40"/>
      <c r="K40"/>
      <c r="L40"/>
      <c r="M40"/>
      <c r="N40"/>
      <c r="O40"/>
      <c r="P40"/>
    </row>
    <row r="41" spans="7:16" ht="15.75" customHeight="1" x14ac:dyDescent="0.2">
      <c r="G41"/>
      <c r="H41"/>
      <c r="I41"/>
      <c r="J41"/>
      <c r="K41"/>
      <c r="L41"/>
      <c r="M41"/>
      <c r="N41"/>
      <c r="O41"/>
      <c r="P41"/>
    </row>
    <row r="42" spans="7:16" ht="15.75" customHeight="1" x14ac:dyDescent="0.15"/>
    <row r="43" spans="7:16" ht="15.75" customHeight="1" x14ac:dyDescent="0.15"/>
    <row r="44" spans="7:16" ht="15.75" customHeight="1" x14ac:dyDescent="0.15"/>
    <row r="45" spans="7:16" ht="15.75" customHeight="1" x14ac:dyDescent="0.15"/>
    <row r="46" spans="7:16" ht="15.75" customHeight="1" x14ac:dyDescent="0.15"/>
    <row r="47" spans="7:16" ht="15.75" customHeight="1" x14ac:dyDescent="0.15"/>
    <row r="48" spans="7:16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6"/>
  <sheetViews>
    <sheetView workbookViewId="0">
      <selection activeCell="L1" sqref="L1:L1048576"/>
    </sheetView>
  </sheetViews>
  <sheetFormatPr baseColWidth="10" defaultColWidth="14.5" defaultRowHeight="15" customHeight="1" x14ac:dyDescent="0.2"/>
  <cols>
    <col min="1" max="1" width="5.5" customWidth="1"/>
    <col min="2" max="2" width="7.6640625" customWidth="1"/>
    <col min="3" max="8" width="12.33203125" customWidth="1"/>
    <col min="9" max="9" width="15.83203125" customWidth="1"/>
    <col min="10" max="10" width="15.5" customWidth="1"/>
    <col min="11" max="11" width="16.33203125" customWidth="1"/>
    <col min="12" max="12" width="12.6640625" bestFit="1" customWidth="1"/>
    <col min="13" max="27" width="8.6640625" customWidth="1"/>
  </cols>
  <sheetData>
    <row r="1" spans="1:27" x14ac:dyDescent="0.2">
      <c r="A1" s="5" t="s">
        <v>22</v>
      </c>
      <c r="B1" s="5" t="s">
        <v>39</v>
      </c>
      <c r="C1" s="5" t="s">
        <v>23</v>
      </c>
      <c r="D1" s="6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40</v>
      </c>
      <c r="J1" s="7" t="s">
        <v>41</v>
      </c>
      <c r="K1" s="7" t="s">
        <v>42</v>
      </c>
      <c r="L1" s="7" t="s">
        <v>43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">
      <c r="A2" s="2">
        <v>2025</v>
      </c>
      <c r="B2" s="9">
        <v>1</v>
      </c>
      <c r="C2" s="9" t="str">
        <f t="shared" ref="C2:C41" si="0">A2 &amp; " Q" &amp; B2</f>
        <v>2025 Q1</v>
      </c>
      <c r="D2" s="3">
        <v>7504611</v>
      </c>
      <c r="E2" s="3">
        <v>3527715</v>
      </c>
      <c r="F2" s="3">
        <v>5292374</v>
      </c>
      <c r="G2" s="3">
        <v>21140028</v>
      </c>
      <c r="H2" s="3">
        <v>2505170</v>
      </c>
      <c r="I2" s="3">
        <v>37776630</v>
      </c>
      <c r="J2" s="4">
        <v>12890496.640000001</v>
      </c>
      <c r="K2" s="4">
        <v>93016121.939999998</v>
      </c>
      <c r="L2" s="4">
        <v>62336046.93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">
      <c r="A3" s="2">
        <v>2025</v>
      </c>
      <c r="B3" s="9">
        <v>2</v>
      </c>
      <c r="C3" s="9" t="str">
        <f t="shared" si="0"/>
        <v>2025 Q2</v>
      </c>
      <c r="D3" s="3">
        <v>8006608</v>
      </c>
      <c r="E3" s="3">
        <v>3567649</v>
      </c>
      <c r="F3" s="3">
        <v>6301874</v>
      </c>
      <c r="G3" s="3">
        <v>21036878</v>
      </c>
      <c r="H3" s="3">
        <v>2613540</v>
      </c>
      <c r="I3" s="3">
        <v>39969899</v>
      </c>
      <c r="J3" s="4">
        <v>20684794.829999998</v>
      </c>
      <c r="K3" s="4">
        <v>92562264.459999993</v>
      </c>
      <c r="L3" s="4">
        <v>63944721.18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2">
      <c r="A4" s="2">
        <v>2025</v>
      </c>
      <c r="B4" s="9">
        <v>3</v>
      </c>
      <c r="C4" s="9" t="str">
        <f t="shared" si="0"/>
        <v>2025 Q3</v>
      </c>
      <c r="D4" s="3">
        <v>7483396</v>
      </c>
      <c r="E4" s="3">
        <v>3734878</v>
      </c>
      <c r="F4" s="3">
        <v>7198855</v>
      </c>
      <c r="G4" s="3">
        <v>21284042</v>
      </c>
      <c r="H4" s="3">
        <v>2742172</v>
      </c>
      <c r="I4" s="3">
        <v>41526548</v>
      </c>
      <c r="J4" s="4">
        <v>15464084.34</v>
      </c>
      <c r="K4" s="4">
        <v>93649786.989999995</v>
      </c>
      <c r="L4" s="4">
        <v>65549203.689999998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2">
      <c r="A5" s="2">
        <v>2025</v>
      </c>
      <c r="B5" s="9">
        <v>4</v>
      </c>
      <c r="C5" s="9" t="str">
        <f t="shared" si="0"/>
        <v>2025 Q4</v>
      </c>
      <c r="D5" s="3">
        <v>7732511</v>
      </c>
      <c r="E5" s="3">
        <v>3672947</v>
      </c>
      <c r="F5" s="3">
        <v>7757407</v>
      </c>
      <c r="G5" s="3">
        <v>21562723</v>
      </c>
      <c r="H5" s="3">
        <v>2794452</v>
      </c>
      <c r="I5" s="3">
        <v>42443343</v>
      </c>
      <c r="J5" s="4">
        <v>17271045.699999999</v>
      </c>
      <c r="K5" s="4">
        <v>94875981.030000001</v>
      </c>
      <c r="L5" s="4">
        <v>67118132.099999994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x14ac:dyDescent="0.2">
      <c r="A6" s="2">
        <v>2026</v>
      </c>
      <c r="B6" s="9">
        <v>1</v>
      </c>
      <c r="C6" s="9" t="str">
        <f t="shared" si="0"/>
        <v>2026 Q1</v>
      </c>
      <c r="D6" s="3">
        <v>7513152</v>
      </c>
      <c r="E6" s="3">
        <v>3716936</v>
      </c>
      <c r="F6" s="3">
        <v>8239083</v>
      </c>
      <c r="G6" s="3">
        <v>22031237</v>
      </c>
      <c r="H6" s="3">
        <v>2883181</v>
      </c>
      <c r="I6" s="3">
        <v>43520040</v>
      </c>
      <c r="J6" s="4">
        <v>13928792.33</v>
      </c>
      <c r="K6" s="4">
        <v>96937441.870000005</v>
      </c>
      <c r="L6" s="4">
        <v>68762337.370000005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2">
      <c r="A7" s="2">
        <v>2026</v>
      </c>
      <c r="B7" s="9">
        <v>2</v>
      </c>
      <c r="C7" s="9" t="str">
        <f t="shared" si="0"/>
        <v>2026 Q2</v>
      </c>
      <c r="D7" s="3">
        <v>7799491</v>
      </c>
      <c r="E7" s="3">
        <v>3653536</v>
      </c>
      <c r="F7" s="3">
        <v>8393017</v>
      </c>
      <c r="G7" s="3">
        <v>22230817</v>
      </c>
      <c r="H7" s="3">
        <v>2897326</v>
      </c>
      <c r="I7" s="3">
        <v>44383588</v>
      </c>
      <c r="J7" s="4">
        <v>22248900.329999998</v>
      </c>
      <c r="K7" s="4">
        <v>97815594.909999996</v>
      </c>
      <c r="L7" s="4">
        <v>69592625.810000002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">
      <c r="A8" s="2">
        <v>2026</v>
      </c>
      <c r="B8" s="9">
        <v>3</v>
      </c>
      <c r="C8" s="9" t="str">
        <f t="shared" si="0"/>
        <v>2026 Q3</v>
      </c>
      <c r="D8" s="3">
        <v>7309595</v>
      </c>
      <c r="E8" s="3">
        <v>3717085</v>
      </c>
      <c r="F8" s="3">
        <v>8648762</v>
      </c>
      <c r="G8" s="3">
        <v>22663290</v>
      </c>
      <c r="H8" s="3">
        <v>2967530</v>
      </c>
      <c r="I8" s="3">
        <v>44974187</v>
      </c>
      <c r="J8" s="4">
        <v>16566272.49</v>
      </c>
      <c r="K8" s="4">
        <v>99718475.099999994</v>
      </c>
      <c r="L8" s="4">
        <v>70658124.510000005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x14ac:dyDescent="0.2">
      <c r="A9" s="2">
        <v>2026</v>
      </c>
      <c r="B9" s="9">
        <v>4</v>
      </c>
      <c r="C9" s="9" t="str">
        <f t="shared" si="0"/>
        <v>2026 Q4</v>
      </c>
      <c r="D9" s="3">
        <v>7632521</v>
      </c>
      <c r="E9" s="3">
        <v>3615425</v>
      </c>
      <c r="F9" s="3">
        <v>8723345</v>
      </c>
      <c r="G9" s="3">
        <v>23031915</v>
      </c>
      <c r="H9" s="3">
        <v>2980847</v>
      </c>
      <c r="I9" s="3">
        <v>45306262</v>
      </c>
      <c r="J9" s="4">
        <v>18438565.07</v>
      </c>
      <c r="K9" s="4">
        <v>101340427.34999999</v>
      </c>
      <c r="L9" s="4">
        <v>71761786.870000005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2">
      <c r="A10" s="2">
        <v>2027</v>
      </c>
      <c r="B10" s="9">
        <v>1</v>
      </c>
      <c r="C10" s="9" t="str">
        <f t="shared" si="0"/>
        <v>2027 Q1</v>
      </c>
      <c r="D10" s="3">
        <v>7473537</v>
      </c>
      <c r="E10" s="3">
        <v>3660196</v>
      </c>
      <c r="F10" s="3">
        <v>8875735</v>
      </c>
      <c r="G10" s="3">
        <v>23538728</v>
      </c>
      <c r="H10" s="3">
        <v>3045388</v>
      </c>
      <c r="I10" s="3">
        <v>45984053</v>
      </c>
      <c r="J10" s="4">
        <v>14818151.140000001</v>
      </c>
      <c r="K10" s="4">
        <v>103570404.81999999</v>
      </c>
      <c r="L10" s="4">
        <v>73057723.590000004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2">
      <c r="A11" s="2">
        <v>2027</v>
      </c>
      <c r="B11" s="9">
        <v>2</v>
      </c>
      <c r="C11" s="9" t="str">
        <f t="shared" si="0"/>
        <v>2027 Q2</v>
      </c>
      <c r="D11" s="3">
        <v>7809902</v>
      </c>
      <c r="E11" s="3">
        <v>3614066</v>
      </c>
      <c r="F11" s="3">
        <v>8799884</v>
      </c>
      <c r="G11" s="3">
        <v>23717425</v>
      </c>
      <c r="H11" s="3">
        <v>3040273</v>
      </c>
      <c r="I11" s="3">
        <v>46593583</v>
      </c>
      <c r="J11" s="4">
        <v>23590394.93</v>
      </c>
      <c r="K11" s="4">
        <v>104356669.44</v>
      </c>
      <c r="L11" s="4">
        <v>73548816.989999995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2">
      <c r="A12" s="2">
        <v>2027</v>
      </c>
      <c r="B12" s="9">
        <v>3</v>
      </c>
      <c r="C12" s="9" t="str">
        <f t="shared" si="0"/>
        <v>2027 Q3</v>
      </c>
      <c r="D12" s="3">
        <v>7337935</v>
      </c>
      <c r="E12" s="3">
        <v>3698171</v>
      </c>
      <c r="F12" s="3">
        <v>8917908</v>
      </c>
      <c r="G12" s="3">
        <v>24120460</v>
      </c>
      <c r="H12" s="3">
        <v>3099200</v>
      </c>
      <c r="I12" s="3">
        <v>46981550</v>
      </c>
      <c r="J12" s="4">
        <v>17507248.75</v>
      </c>
      <c r="K12" s="4">
        <v>106130024.15000001</v>
      </c>
      <c r="L12" s="4">
        <v>74369602.340000004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2">
      <c r="A13" s="2">
        <v>2027</v>
      </c>
      <c r="B13" s="9">
        <v>4</v>
      </c>
      <c r="C13" s="9" t="str">
        <f t="shared" si="0"/>
        <v>2027 Q4</v>
      </c>
      <c r="D13" s="3">
        <v>7675394</v>
      </c>
      <c r="E13" s="3">
        <v>3611195</v>
      </c>
      <c r="F13" s="3">
        <v>8906166</v>
      </c>
      <c r="G13" s="3">
        <v>24442953</v>
      </c>
      <c r="H13" s="3">
        <v>3103030</v>
      </c>
      <c r="I13" s="3">
        <v>47173674</v>
      </c>
      <c r="J13" s="4">
        <v>19428585.289999999</v>
      </c>
      <c r="K13" s="4">
        <v>107548991.06999999</v>
      </c>
      <c r="L13" s="4">
        <v>75259379.019999996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2">
      <c r="A14" s="2">
        <v>2028</v>
      </c>
      <c r="B14" s="9">
        <v>1</v>
      </c>
      <c r="C14" s="9" t="str">
        <f t="shared" si="0"/>
        <v>2028 Q1</v>
      </c>
      <c r="D14" s="3">
        <v>7512735</v>
      </c>
      <c r="E14" s="3">
        <v>3666402</v>
      </c>
      <c r="F14" s="3">
        <v>9007635</v>
      </c>
      <c r="G14" s="3">
        <v>24905411</v>
      </c>
      <c r="H14" s="3">
        <v>3161019</v>
      </c>
      <c r="I14" s="3">
        <v>47738737</v>
      </c>
      <c r="J14" s="4">
        <v>15567349.779999999</v>
      </c>
      <c r="K14" s="4">
        <v>109583808.41</v>
      </c>
      <c r="L14" s="4">
        <v>76383019.379999995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2">
      <c r="A15" s="2">
        <v>2028</v>
      </c>
      <c r="B15" s="9">
        <v>2</v>
      </c>
      <c r="C15" s="9" t="str">
        <f t="shared" si="0"/>
        <v>2028 Q2</v>
      </c>
      <c r="D15" s="3">
        <v>7851828</v>
      </c>
      <c r="E15" s="3">
        <v>3624670</v>
      </c>
      <c r="F15" s="3">
        <v>8897061</v>
      </c>
      <c r="G15" s="3">
        <v>25018995</v>
      </c>
      <c r="H15" s="3">
        <v>3147989</v>
      </c>
      <c r="I15" s="3">
        <v>48253202</v>
      </c>
      <c r="J15" s="4">
        <v>24714689.43</v>
      </c>
      <c r="K15" s="4">
        <v>110083579.52</v>
      </c>
      <c r="L15" s="4">
        <v>76679085.090000004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2">
      <c r="A16" s="2">
        <v>2028</v>
      </c>
      <c r="B16" s="9">
        <v>3</v>
      </c>
      <c r="C16" s="9" t="str">
        <f t="shared" si="0"/>
        <v>2028 Q3</v>
      </c>
      <c r="D16" s="3">
        <v>7370223</v>
      </c>
      <c r="E16" s="3">
        <v>3711433</v>
      </c>
      <c r="F16" s="3">
        <v>8994443</v>
      </c>
      <c r="G16" s="3">
        <v>25369034</v>
      </c>
      <c r="H16" s="3">
        <v>3201524</v>
      </c>
      <c r="I16" s="3">
        <v>48540544</v>
      </c>
      <c r="J16" s="4">
        <v>18291479.579999998</v>
      </c>
      <c r="K16" s="4">
        <v>111623750.06999999</v>
      </c>
      <c r="L16" s="4">
        <v>77344446.439999998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2">
      <c r="A17" s="2">
        <v>2028</v>
      </c>
      <c r="B17" s="9">
        <v>4</v>
      </c>
      <c r="C17" s="9" t="str">
        <f t="shared" si="0"/>
        <v>2028 Q4</v>
      </c>
      <c r="D17" s="3">
        <v>7705351</v>
      </c>
      <c r="E17" s="3">
        <v>3623490</v>
      </c>
      <c r="F17" s="3">
        <v>8967337</v>
      </c>
      <c r="G17" s="3">
        <v>25635531</v>
      </c>
      <c r="H17" s="3">
        <v>3199459</v>
      </c>
      <c r="I17" s="3">
        <v>48646657</v>
      </c>
      <c r="J17" s="4">
        <v>20249532.379999999</v>
      </c>
      <c r="K17" s="4">
        <v>112796338.5</v>
      </c>
      <c r="L17" s="4">
        <v>78082494.439999998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">
      <c r="A18" s="2">
        <v>2029</v>
      </c>
      <c r="B18" s="9">
        <v>1</v>
      </c>
      <c r="C18" s="9" t="str">
        <f t="shared" si="0"/>
        <v>2029 Q1</v>
      </c>
      <c r="D18" s="3">
        <v>7533177</v>
      </c>
      <c r="E18" s="3">
        <v>3677607</v>
      </c>
      <c r="F18" s="3">
        <v>9057821</v>
      </c>
      <c r="G18" s="3">
        <v>26049836</v>
      </c>
      <c r="H18" s="3">
        <v>3252786</v>
      </c>
      <c r="I18" s="3">
        <v>49131169</v>
      </c>
      <c r="J18" s="4">
        <v>16185518.59</v>
      </c>
      <c r="K18" s="4">
        <v>114619279.17</v>
      </c>
      <c r="L18" s="4">
        <v>79074052.010000005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2">
      <c r="A19" s="2">
        <v>2029</v>
      </c>
      <c r="B19" s="9">
        <v>2</v>
      </c>
      <c r="C19" s="9" t="str">
        <f t="shared" si="0"/>
        <v>2029 Q2</v>
      </c>
      <c r="D19" s="3">
        <v>7871489</v>
      </c>
      <c r="E19" s="3">
        <v>3633184</v>
      </c>
      <c r="F19" s="3">
        <v>8936744</v>
      </c>
      <c r="G19" s="3">
        <v>26101579</v>
      </c>
      <c r="H19" s="3">
        <v>3233568</v>
      </c>
      <c r="I19" s="3">
        <v>49571228</v>
      </c>
      <c r="J19" s="4">
        <v>25638258.25</v>
      </c>
      <c r="K19" s="4">
        <v>114846946.77</v>
      </c>
      <c r="L19" s="4">
        <v>79212316.489999995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2">
      <c r="A20" s="2">
        <v>2029</v>
      </c>
      <c r="B20" s="9">
        <v>3</v>
      </c>
      <c r="C20" s="9" t="str">
        <f t="shared" si="0"/>
        <v>2029 Q3</v>
      </c>
      <c r="D20" s="3">
        <v>7382611</v>
      </c>
      <c r="E20" s="3">
        <v>3718488</v>
      </c>
      <c r="F20" s="3">
        <v>9026366</v>
      </c>
      <c r="G20" s="3">
        <v>26401935</v>
      </c>
      <c r="H20" s="3">
        <v>3282667</v>
      </c>
      <c r="I20" s="3">
        <v>49776564</v>
      </c>
      <c r="J20" s="4">
        <v>18932882.829999998</v>
      </c>
      <c r="K20" s="4">
        <v>116168512.05</v>
      </c>
      <c r="L20" s="4">
        <v>79748241.049999997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customHeight="1" x14ac:dyDescent="0.2">
      <c r="A21" s="2">
        <v>2029</v>
      </c>
      <c r="B21" s="9">
        <v>4</v>
      </c>
      <c r="C21" s="9" t="str">
        <f t="shared" si="0"/>
        <v>2029 Q4</v>
      </c>
      <c r="D21" s="3">
        <v>7716020</v>
      </c>
      <c r="E21" s="3">
        <v>3628216</v>
      </c>
      <c r="F21" s="3">
        <v>8992047</v>
      </c>
      <c r="G21" s="3">
        <v>26617520</v>
      </c>
      <c r="H21" s="3">
        <v>3275770</v>
      </c>
      <c r="I21" s="3">
        <v>49812067</v>
      </c>
      <c r="J21" s="4">
        <v>20918377.449999999</v>
      </c>
      <c r="K21" s="4">
        <v>117117090.05</v>
      </c>
      <c r="L21" s="4">
        <v>80357863.950000003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customHeight="1" x14ac:dyDescent="0.2">
      <c r="A22" s="2">
        <v>2030</v>
      </c>
      <c r="B22" s="9">
        <v>1</v>
      </c>
      <c r="C22" s="9" t="str">
        <f t="shared" si="0"/>
        <v>2030 Q1</v>
      </c>
      <c r="D22" s="3">
        <v>7537430</v>
      </c>
      <c r="E22" s="3">
        <v>3680778</v>
      </c>
      <c r="F22" s="3">
        <v>9076588</v>
      </c>
      <c r="G22" s="3">
        <v>26988175</v>
      </c>
      <c r="H22" s="3">
        <v>3325194</v>
      </c>
      <c r="I22" s="3">
        <v>50229574</v>
      </c>
      <c r="J22" s="4">
        <v>16687219.99</v>
      </c>
      <c r="K22" s="4">
        <v>118747970.89</v>
      </c>
      <c r="L22" s="4">
        <v>81236769.819999993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customHeight="1" x14ac:dyDescent="0.2">
      <c r="A23" s="2">
        <v>2030</v>
      </c>
      <c r="B23" s="9">
        <v>2</v>
      </c>
      <c r="C23" s="9" t="str">
        <f t="shared" si="0"/>
        <v>2030 Q2</v>
      </c>
      <c r="D23" s="3">
        <v>7876045</v>
      </c>
      <c r="E23" s="3">
        <v>3634232</v>
      </c>
      <c r="F23" s="3">
        <v>8949498</v>
      </c>
      <c r="G23" s="3">
        <v>26985706</v>
      </c>
      <c r="H23" s="3">
        <v>3300916</v>
      </c>
      <c r="I23" s="3">
        <v>50608165</v>
      </c>
      <c r="J23" s="4">
        <v>26385197.859999999</v>
      </c>
      <c r="K23" s="4">
        <v>118737105.08</v>
      </c>
      <c r="L23" s="4">
        <v>81242166.700000003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 x14ac:dyDescent="0.2">
      <c r="A24" s="2">
        <v>2030</v>
      </c>
      <c r="B24" s="9">
        <v>3</v>
      </c>
      <c r="C24" s="9" t="str">
        <f t="shared" si="0"/>
        <v>2030 Q3</v>
      </c>
      <c r="D24" s="3">
        <v>7383093</v>
      </c>
      <c r="E24" s="3">
        <v>3718596</v>
      </c>
      <c r="F24" s="3">
        <v>9034498</v>
      </c>
      <c r="G24" s="3">
        <v>27242311</v>
      </c>
      <c r="H24" s="3">
        <v>3346353</v>
      </c>
      <c r="I24" s="3">
        <v>50746397</v>
      </c>
      <c r="J24" s="4">
        <v>19449836.199999999</v>
      </c>
      <c r="K24" s="4">
        <v>119866169.42</v>
      </c>
      <c r="L24" s="4">
        <v>81669036.319999993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 x14ac:dyDescent="0.2">
      <c r="A25" s="2">
        <v>2030</v>
      </c>
      <c r="B25" s="9">
        <v>4</v>
      </c>
      <c r="C25" s="9" t="str">
        <f t="shared" si="0"/>
        <v>2030 Q4</v>
      </c>
      <c r="D25" s="3">
        <v>7715890</v>
      </c>
      <c r="E25" s="3">
        <v>3627026</v>
      </c>
      <c r="F25" s="3">
        <v>8995996</v>
      </c>
      <c r="G25" s="3">
        <v>27413618</v>
      </c>
      <c r="H25" s="3">
        <v>3335557</v>
      </c>
      <c r="I25" s="3">
        <v>50724851</v>
      </c>
      <c r="J25" s="4">
        <v>21455807.91</v>
      </c>
      <c r="K25" s="4">
        <v>120619918.87</v>
      </c>
      <c r="L25" s="4">
        <v>82170956.310000002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 x14ac:dyDescent="0.2">
      <c r="A26" s="2">
        <v>2031</v>
      </c>
      <c r="B26" s="9">
        <v>1</v>
      </c>
      <c r="C26" s="9" t="str">
        <f t="shared" si="0"/>
        <v>2031 Q1</v>
      </c>
      <c r="D26" s="3">
        <v>7533240</v>
      </c>
      <c r="E26" s="3">
        <v>3678791</v>
      </c>
      <c r="F26" s="3">
        <v>9077105</v>
      </c>
      <c r="G26" s="3">
        <v>27746289</v>
      </c>
      <c r="H26" s="3">
        <v>3381804</v>
      </c>
      <c r="I26" s="3">
        <v>51088088</v>
      </c>
      <c r="J26" s="4">
        <v>17089125.75</v>
      </c>
      <c r="K26" s="4">
        <v>122083672.58</v>
      </c>
      <c r="L26" s="4">
        <v>82955626.150000006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customHeight="1" x14ac:dyDescent="0.2">
      <c r="A27" s="2">
        <v>2031</v>
      </c>
      <c r="B27" s="9">
        <v>2</v>
      </c>
      <c r="C27" s="9" t="str">
        <f t="shared" si="0"/>
        <v>2031 Q2</v>
      </c>
      <c r="D27" s="3">
        <v>7872783</v>
      </c>
      <c r="E27" s="3">
        <v>3631066</v>
      </c>
      <c r="F27" s="3">
        <v>8946766</v>
      </c>
      <c r="G27" s="3">
        <v>27697718</v>
      </c>
      <c r="H27" s="3">
        <v>3353481</v>
      </c>
      <c r="I27" s="3">
        <v>51417230</v>
      </c>
      <c r="J27" s="4">
        <v>26981914.039999999</v>
      </c>
      <c r="K27" s="4">
        <v>121869959.84999999</v>
      </c>
      <c r="L27" s="4">
        <v>82851492.260000005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 x14ac:dyDescent="0.2">
      <c r="A28" s="2">
        <v>2031</v>
      </c>
      <c r="B28" s="9">
        <v>3</v>
      </c>
      <c r="C28" s="9" t="str">
        <f t="shared" si="0"/>
        <v>2031 Q3</v>
      </c>
      <c r="D28" s="3">
        <v>7377714</v>
      </c>
      <c r="E28" s="3">
        <v>3715073</v>
      </c>
      <c r="F28" s="3">
        <v>9029278</v>
      </c>
      <c r="G28" s="3">
        <v>27917015</v>
      </c>
      <c r="H28" s="3">
        <v>3395974</v>
      </c>
      <c r="I28" s="3">
        <v>51501813</v>
      </c>
      <c r="J28" s="4">
        <v>19861704.27</v>
      </c>
      <c r="K28" s="4">
        <v>122834865.61</v>
      </c>
      <c r="L28" s="4">
        <v>83188576.450000003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 x14ac:dyDescent="0.2">
      <c r="A29" s="2">
        <v>2031</v>
      </c>
      <c r="B29" s="9">
        <v>4</v>
      </c>
      <c r="C29" s="9" t="str">
        <f t="shared" si="0"/>
        <v>2031 Q4</v>
      </c>
      <c r="D29" s="3">
        <v>7710509</v>
      </c>
      <c r="E29" s="3">
        <v>3622945</v>
      </c>
      <c r="F29" s="3">
        <v>8988675</v>
      </c>
      <c r="G29" s="3">
        <v>28050921</v>
      </c>
      <c r="H29" s="3">
        <v>3382088</v>
      </c>
      <c r="I29" s="3">
        <v>51435054</v>
      </c>
      <c r="J29" s="4">
        <v>21882966.550000001</v>
      </c>
      <c r="K29" s="4">
        <v>123424054.41</v>
      </c>
      <c r="L29" s="4">
        <v>83602207.310000002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 x14ac:dyDescent="0.2">
      <c r="A30" s="2">
        <v>2032</v>
      </c>
      <c r="B30" s="9">
        <v>1</v>
      </c>
      <c r="C30" s="9" t="str">
        <f t="shared" si="0"/>
        <v>2032 Q1</v>
      </c>
      <c r="D30" s="3">
        <v>7525309</v>
      </c>
      <c r="E30" s="3">
        <v>3674416</v>
      </c>
      <c r="F30" s="3">
        <v>9068078</v>
      </c>
      <c r="G30" s="3">
        <v>28351522</v>
      </c>
      <c r="H30" s="3">
        <v>3425801</v>
      </c>
      <c r="I30" s="3">
        <v>51755139</v>
      </c>
      <c r="J30" s="4">
        <v>17407807.899999999</v>
      </c>
      <c r="K30" s="4">
        <v>124746697.44</v>
      </c>
      <c r="L30" s="4">
        <v>84309795.719999999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 x14ac:dyDescent="0.2">
      <c r="A31" s="2">
        <v>2032</v>
      </c>
      <c r="B31" s="9">
        <v>2</v>
      </c>
      <c r="C31" s="9" t="str">
        <f t="shared" si="0"/>
        <v>2032 Q2</v>
      </c>
      <c r="D31" s="3">
        <v>7866012</v>
      </c>
      <c r="E31" s="3">
        <v>3626104</v>
      </c>
      <c r="F31" s="3">
        <v>8936296</v>
      </c>
      <c r="G31" s="3">
        <v>28264686</v>
      </c>
      <c r="H31" s="3">
        <v>3394288</v>
      </c>
      <c r="I31" s="3">
        <v>52045126</v>
      </c>
      <c r="J31" s="4">
        <v>27454048.649999999</v>
      </c>
      <c r="K31" s="4">
        <v>124364618.81999999</v>
      </c>
      <c r="L31" s="4">
        <v>84117021.659999996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customHeight="1" x14ac:dyDescent="0.2">
      <c r="A32" s="2">
        <v>2032</v>
      </c>
      <c r="B32" s="9">
        <v>3</v>
      </c>
      <c r="C32" s="9" t="str">
        <f t="shared" si="0"/>
        <v>2032 Q3</v>
      </c>
      <c r="D32" s="3">
        <v>7369971</v>
      </c>
      <c r="E32" s="3">
        <v>3710085</v>
      </c>
      <c r="F32" s="3">
        <v>9017706</v>
      </c>
      <c r="G32" s="3">
        <v>28452969</v>
      </c>
      <c r="H32" s="3">
        <v>3434448</v>
      </c>
      <c r="I32" s="3">
        <v>52087386</v>
      </c>
      <c r="J32" s="4">
        <v>20186894.850000001</v>
      </c>
      <c r="K32" s="4">
        <v>125193063.03</v>
      </c>
      <c r="L32" s="4">
        <v>84381514.129999995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 x14ac:dyDescent="0.2">
      <c r="A33" s="2">
        <v>2032</v>
      </c>
      <c r="B33" s="9">
        <v>4</v>
      </c>
      <c r="C33" s="9" t="str">
        <f t="shared" si="0"/>
        <v>2032 Q4</v>
      </c>
      <c r="D33" s="3">
        <v>7703070</v>
      </c>
      <c r="E33" s="3">
        <v>3617817</v>
      </c>
      <c r="F33" s="3">
        <v>8976295</v>
      </c>
      <c r="G33" s="3">
        <v>28556011</v>
      </c>
      <c r="H33" s="3">
        <v>3418141</v>
      </c>
      <c r="I33" s="3">
        <v>51985180</v>
      </c>
      <c r="J33" s="4">
        <v>22219600.350000001</v>
      </c>
      <c r="K33" s="4">
        <v>125646447.12</v>
      </c>
      <c r="L33" s="4">
        <v>84723986.120000005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customHeight="1" x14ac:dyDescent="0.2">
      <c r="A34" s="2">
        <v>2033</v>
      </c>
      <c r="B34" s="9">
        <v>1</v>
      </c>
      <c r="C34" s="9" t="str">
        <f t="shared" si="0"/>
        <v>2033 Q1</v>
      </c>
      <c r="D34" s="3">
        <v>7516280</v>
      </c>
      <c r="E34" s="3">
        <v>3669268</v>
      </c>
      <c r="F34" s="3">
        <v>9055053</v>
      </c>
      <c r="G34" s="3">
        <v>28830161</v>
      </c>
      <c r="H34" s="3">
        <v>3459855</v>
      </c>
      <c r="I34" s="3">
        <v>52271333</v>
      </c>
      <c r="J34" s="4">
        <v>17658488.68</v>
      </c>
      <c r="K34" s="4">
        <v>126852707.89</v>
      </c>
      <c r="L34" s="4">
        <v>85369548.150000006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customHeight="1" x14ac:dyDescent="0.2">
      <c r="A35" s="2">
        <v>2033</v>
      </c>
      <c r="B35" s="9">
        <v>2</v>
      </c>
      <c r="C35" s="9" t="str">
        <f t="shared" si="0"/>
        <v>2033 Q2</v>
      </c>
      <c r="D35" s="3">
        <v>7858164</v>
      </c>
      <c r="E35" s="3">
        <v>3620712</v>
      </c>
      <c r="F35" s="3">
        <v>8922888</v>
      </c>
      <c r="G35" s="3">
        <v>28712161</v>
      </c>
      <c r="H35" s="3">
        <v>3425849</v>
      </c>
      <c r="I35" s="3">
        <v>52530617</v>
      </c>
      <c r="J35" s="4">
        <v>27824816.219999999</v>
      </c>
      <c r="K35" s="4">
        <v>126333508.38</v>
      </c>
      <c r="L35" s="4">
        <v>85106003.060000002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 x14ac:dyDescent="0.2">
      <c r="A36" s="2">
        <v>2033</v>
      </c>
      <c r="B36" s="9">
        <v>3</v>
      </c>
      <c r="C36" s="9" t="str">
        <f t="shared" si="0"/>
        <v>2033 Q3</v>
      </c>
      <c r="D36" s="3">
        <v>7361792</v>
      </c>
      <c r="E36" s="3">
        <v>3704835</v>
      </c>
      <c r="F36" s="3">
        <v>9004004</v>
      </c>
      <c r="G36" s="3">
        <v>28875163</v>
      </c>
      <c r="H36" s="3">
        <v>3464178</v>
      </c>
      <c r="I36" s="3">
        <v>52539774</v>
      </c>
      <c r="J36" s="4">
        <v>20441848.100000001</v>
      </c>
      <c r="K36" s="4">
        <v>127050715.76000001</v>
      </c>
      <c r="L36" s="4">
        <v>85312579.459999993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 x14ac:dyDescent="0.2">
      <c r="A37" s="2">
        <v>2033</v>
      </c>
      <c r="B37" s="9">
        <v>4</v>
      </c>
      <c r="C37" s="9" t="str">
        <f t="shared" si="0"/>
        <v>2033 Q4</v>
      </c>
      <c r="D37" s="3">
        <v>7695318</v>
      </c>
      <c r="E37" s="3">
        <v>3612644</v>
      </c>
      <c r="F37" s="3">
        <v>8962512</v>
      </c>
      <c r="G37" s="3">
        <v>28953182</v>
      </c>
      <c r="H37" s="3">
        <v>3445986</v>
      </c>
      <c r="I37" s="3">
        <v>52409972</v>
      </c>
      <c r="J37" s="4">
        <v>22483142.739999998</v>
      </c>
      <c r="K37" s="4">
        <v>127394001.38</v>
      </c>
      <c r="L37" s="4">
        <v>85598410.329999998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 x14ac:dyDescent="0.2">
      <c r="A38" s="2">
        <v>2034</v>
      </c>
      <c r="B38" s="9">
        <v>1</v>
      </c>
      <c r="C38" s="9" t="str">
        <f t="shared" si="0"/>
        <v>2034 Q1</v>
      </c>
      <c r="D38" s="3">
        <v>7507545</v>
      </c>
      <c r="E38" s="3">
        <v>3664212</v>
      </c>
      <c r="F38" s="3">
        <v>9041217</v>
      </c>
      <c r="G38" s="3">
        <v>29205901</v>
      </c>
      <c r="H38" s="3">
        <v>3486137</v>
      </c>
      <c r="I38" s="3">
        <v>52669642</v>
      </c>
      <c r="J38" s="4">
        <v>17854458.57</v>
      </c>
      <c r="K38" s="4">
        <v>128505966.28</v>
      </c>
      <c r="L38" s="4">
        <v>86194660.430000007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 x14ac:dyDescent="0.2">
      <c r="A39" s="2">
        <v>2034</v>
      </c>
      <c r="B39" s="9">
        <v>2</v>
      </c>
      <c r="C39" s="9" t="str">
        <f t="shared" si="0"/>
        <v>2034 Q2</v>
      </c>
      <c r="D39" s="3">
        <v>7850517</v>
      </c>
      <c r="E39" s="3">
        <v>3615601</v>
      </c>
      <c r="F39" s="3">
        <v>8909231</v>
      </c>
      <c r="G39" s="3">
        <v>29062887</v>
      </c>
      <c r="H39" s="3">
        <v>3450193</v>
      </c>
      <c r="I39" s="3">
        <v>52905013</v>
      </c>
      <c r="J39" s="4">
        <v>28114288.359999999</v>
      </c>
      <c r="K39" s="4">
        <v>127876702.8</v>
      </c>
      <c r="L39" s="4">
        <v>85875178.659999996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 x14ac:dyDescent="0.2">
      <c r="A40" s="2">
        <v>2034</v>
      </c>
      <c r="B40" s="9">
        <v>3</v>
      </c>
      <c r="C40" s="9" t="str">
        <f t="shared" si="0"/>
        <v>2034 Q3</v>
      </c>
      <c r="D40" s="3">
        <v>7354151</v>
      </c>
      <c r="E40" s="3">
        <v>3699935</v>
      </c>
      <c r="F40" s="3">
        <v>8990483</v>
      </c>
      <c r="G40" s="3">
        <v>29205585</v>
      </c>
      <c r="H40" s="3">
        <v>3487095</v>
      </c>
      <c r="I40" s="3">
        <v>52888430</v>
      </c>
      <c r="J40" s="4">
        <v>20640646.780000001</v>
      </c>
      <c r="K40" s="4">
        <v>128504574</v>
      </c>
      <c r="L40" s="4">
        <v>86036004.340000004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 x14ac:dyDescent="0.2">
      <c r="A41" s="2">
        <v>2034</v>
      </c>
      <c r="B41" s="9">
        <v>4</v>
      </c>
      <c r="C41" s="9" t="str">
        <f t="shared" si="0"/>
        <v>2034 Q4</v>
      </c>
      <c r="D41" s="3">
        <v>7688129</v>
      </c>
      <c r="E41" s="3">
        <v>3607918</v>
      </c>
      <c r="F41" s="3">
        <v>8949278</v>
      </c>
      <c r="G41" s="3">
        <v>29263591</v>
      </c>
      <c r="H41" s="3">
        <v>3467442</v>
      </c>
      <c r="I41" s="3">
        <v>52737249</v>
      </c>
      <c r="J41" s="4">
        <v>22688408.41</v>
      </c>
      <c r="K41" s="4">
        <v>128759800.78</v>
      </c>
      <c r="L41" s="4">
        <v>86277169.769999996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 x14ac:dyDescent="0.2">
      <c r="A42" s="9"/>
      <c r="B42" s="9"/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 x14ac:dyDescent="0.2">
      <c r="A43" s="9"/>
      <c r="B43" s="9"/>
      <c r="C43" s="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 x14ac:dyDescent="0.2">
      <c r="A44" s="9"/>
      <c r="B44" s="9"/>
      <c r="C44" s="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 x14ac:dyDescent="0.2">
      <c r="A45" s="9"/>
      <c r="B45" s="9"/>
      <c r="C45" s="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customHeight="1" x14ac:dyDescent="0.2">
      <c r="A46" s="9"/>
      <c r="B46" s="9"/>
      <c r="C46" s="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 customHeight="1" x14ac:dyDescent="0.2">
      <c r="A47" s="9"/>
      <c r="B47" s="9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 x14ac:dyDescent="0.2">
      <c r="A48" s="9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 x14ac:dyDescent="0.2">
      <c r="A49" s="9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 x14ac:dyDescent="0.2">
      <c r="A50" s="9"/>
      <c r="B50" s="9"/>
      <c r="C50" s="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 x14ac:dyDescent="0.2">
      <c r="A51" s="9"/>
      <c r="B51" s="9"/>
      <c r="C51" s="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 x14ac:dyDescent="0.2">
      <c r="A52" s="9"/>
      <c r="B52" s="9"/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75" customHeight="1" x14ac:dyDescent="0.2">
      <c r="A53" s="9"/>
      <c r="B53" s="9"/>
      <c r="C53" s="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 x14ac:dyDescent="0.2">
      <c r="A54" s="9"/>
      <c r="B54" s="9"/>
      <c r="C54" s="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 x14ac:dyDescent="0.2">
      <c r="A55" s="9"/>
      <c r="B55" s="9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 x14ac:dyDescent="0.2">
      <c r="A56" s="9"/>
      <c r="B56" s="9"/>
      <c r="C56" s="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 x14ac:dyDescent="0.2">
      <c r="A57" s="9"/>
      <c r="B57" s="9"/>
      <c r="C57" s="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 x14ac:dyDescent="0.2">
      <c r="A58" s="9"/>
      <c r="B58" s="9"/>
      <c r="C58" s="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75" customHeight="1" x14ac:dyDescent="0.2">
      <c r="A59" s="9"/>
      <c r="B59" s="9"/>
      <c r="C59" s="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 customHeight="1" x14ac:dyDescent="0.2">
      <c r="A60" s="9"/>
      <c r="B60" s="9"/>
      <c r="C60" s="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 x14ac:dyDescent="0.2">
      <c r="A61" s="9"/>
      <c r="B61" s="9"/>
      <c r="C61" s="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 x14ac:dyDescent="0.2">
      <c r="A62" s="9"/>
      <c r="B62" s="9"/>
      <c r="C62" s="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 x14ac:dyDescent="0.2">
      <c r="A63" s="9"/>
      <c r="B63" s="9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 x14ac:dyDescent="0.2">
      <c r="A64" s="9"/>
      <c r="B64" s="9"/>
      <c r="C64" s="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 x14ac:dyDescent="0.2">
      <c r="A65" s="9"/>
      <c r="B65" s="9"/>
      <c r="C65" s="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 x14ac:dyDescent="0.2">
      <c r="A66" s="9"/>
      <c r="B66" s="9"/>
      <c r="C66" s="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 customHeight="1" x14ac:dyDescent="0.2">
      <c r="A67" s="9"/>
      <c r="B67" s="9"/>
      <c r="C67" s="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 customHeight="1" x14ac:dyDescent="0.2">
      <c r="A68" s="9"/>
      <c r="B68" s="9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 customHeight="1" x14ac:dyDescent="0.2">
      <c r="A69" s="9"/>
      <c r="B69" s="9"/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.75" customHeight="1" x14ac:dyDescent="0.2">
      <c r="A70" s="9"/>
      <c r="B70" s="9"/>
      <c r="C70" s="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75" customHeight="1" x14ac:dyDescent="0.2">
      <c r="A71" s="9"/>
      <c r="B71" s="9"/>
      <c r="C71" s="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customHeight="1" x14ac:dyDescent="0.2">
      <c r="A72" s="9"/>
      <c r="B72" s="9"/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 customHeight="1" x14ac:dyDescent="0.2">
      <c r="A73" s="9"/>
      <c r="B73" s="9"/>
      <c r="C73" s="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customHeight="1" x14ac:dyDescent="0.2">
      <c r="A74" s="9"/>
      <c r="B74" s="9"/>
      <c r="C74" s="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customHeight="1" x14ac:dyDescent="0.2">
      <c r="A75" s="9"/>
      <c r="B75" s="9"/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customHeight="1" x14ac:dyDescent="0.2">
      <c r="A76" s="9"/>
      <c r="B76" s="9"/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customHeight="1" x14ac:dyDescent="0.2">
      <c r="A77" s="9"/>
      <c r="B77" s="9"/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customHeight="1" x14ac:dyDescent="0.2">
      <c r="A78" s="9"/>
      <c r="B78" s="9"/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 customHeight="1" x14ac:dyDescent="0.2">
      <c r="A79" s="9"/>
      <c r="B79" s="9"/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 customHeight="1" x14ac:dyDescent="0.2">
      <c r="A80" s="9"/>
      <c r="B80" s="9"/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 customHeight="1" x14ac:dyDescent="0.2">
      <c r="A81" s="9"/>
      <c r="B81" s="9"/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 customHeight="1" x14ac:dyDescent="0.2">
      <c r="A82" s="9"/>
      <c r="B82" s="9"/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 customHeight="1" x14ac:dyDescent="0.2">
      <c r="A83" s="9"/>
      <c r="B83" s="9"/>
      <c r="C83" s="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customHeight="1" x14ac:dyDescent="0.2">
      <c r="A84" s="9"/>
      <c r="B84" s="9"/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 customHeight="1" x14ac:dyDescent="0.2">
      <c r="A85" s="9"/>
      <c r="B85" s="9"/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 customHeight="1" x14ac:dyDescent="0.2">
      <c r="A86" s="9"/>
      <c r="B86" s="9"/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customHeight="1" x14ac:dyDescent="0.2">
      <c r="A87" s="9"/>
      <c r="B87" s="9"/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customHeight="1" x14ac:dyDescent="0.2">
      <c r="A88" s="9"/>
      <c r="B88" s="9"/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 customHeight="1" x14ac:dyDescent="0.2">
      <c r="A89" s="9"/>
      <c r="B89" s="9"/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customHeight="1" x14ac:dyDescent="0.2">
      <c r="A90" s="9"/>
      <c r="B90" s="9"/>
      <c r="C90" s="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customHeight="1" x14ac:dyDescent="0.2">
      <c r="A91" s="9"/>
      <c r="B91" s="9"/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customHeight="1" x14ac:dyDescent="0.2">
      <c r="A92" s="9"/>
      <c r="B92" s="9"/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customHeight="1" x14ac:dyDescent="0.2">
      <c r="A93" s="9"/>
      <c r="B93" s="9"/>
      <c r="C93" s="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 customHeight="1" x14ac:dyDescent="0.2">
      <c r="A94" s="9"/>
      <c r="B94" s="9"/>
      <c r="C94" s="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 customHeight="1" x14ac:dyDescent="0.2">
      <c r="A95" s="9"/>
      <c r="B95" s="9"/>
      <c r="C95" s="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 customHeight="1" x14ac:dyDescent="0.2">
      <c r="A96" s="9"/>
      <c r="B96" s="9"/>
      <c r="C96" s="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 customHeight="1" x14ac:dyDescent="0.2">
      <c r="A97" s="9"/>
      <c r="B97" s="9"/>
      <c r="C97" s="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customHeight="1" x14ac:dyDescent="0.2">
      <c r="A98" s="9"/>
      <c r="B98" s="9"/>
      <c r="C98" s="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customHeight="1" x14ac:dyDescent="0.2">
      <c r="A99" s="9"/>
      <c r="B99" s="9"/>
      <c r="C99" s="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customHeight="1" x14ac:dyDescent="0.2">
      <c r="A100" s="9"/>
      <c r="B100" s="9"/>
      <c r="C100" s="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 customHeight="1" x14ac:dyDescent="0.2">
      <c r="A101" s="9"/>
      <c r="B101" s="9"/>
      <c r="C101" s="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 customHeight="1" x14ac:dyDescent="0.2">
      <c r="A102" s="9"/>
      <c r="B102" s="9"/>
      <c r="C102" s="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 customHeight="1" x14ac:dyDescent="0.2">
      <c r="A103" s="9"/>
      <c r="B103" s="9"/>
      <c r="C103" s="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customHeight="1" x14ac:dyDescent="0.2">
      <c r="A104" s="9"/>
      <c r="B104" s="9"/>
      <c r="C104" s="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customHeight="1" x14ac:dyDescent="0.2">
      <c r="A105" s="9"/>
      <c r="B105" s="9"/>
      <c r="C105" s="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customHeight="1" x14ac:dyDescent="0.2">
      <c r="A106" s="9"/>
      <c r="B106" s="9"/>
      <c r="C106" s="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customHeight="1" x14ac:dyDescent="0.2">
      <c r="A107" s="9"/>
      <c r="B107" s="9"/>
      <c r="C107" s="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customHeight="1" x14ac:dyDescent="0.2">
      <c r="A108" s="9"/>
      <c r="B108" s="9"/>
      <c r="C108" s="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 customHeight="1" x14ac:dyDescent="0.2">
      <c r="A109" s="9"/>
      <c r="B109" s="9"/>
      <c r="C109" s="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 customHeight="1" x14ac:dyDescent="0.2">
      <c r="A110" s="9"/>
      <c r="B110" s="9"/>
      <c r="C110" s="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 customHeight="1" x14ac:dyDescent="0.2">
      <c r="A111" s="9"/>
      <c r="B111" s="9"/>
      <c r="C111" s="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 customHeight="1" x14ac:dyDescent="0.2">
      <c r="A112" s="9"/>
      <c r="B112" s="9"/>
      <c r="C112" s="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customHeight="1" x14ac:dyDescent="0.2">
      <c r="A113" s="9"/>
      <c r="B113" s="9"/>
      <c r="C113" s="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customHeight="1" x14ac:dyDescent="0.2">
      <c r="A114" s="9"/>
      <c r="B114" s="9"/>
      <c r="C114" s="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customHeight="1" x14ac:dyDescent="0.2">
      <c r="A115" s="9"/>
      <c r="B115" s="9"/>
      <c r="C115" s="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 customHeight="1" x14ac:dyDescent="0.2">
      <c r="A116" s="9"/>
      <c r="B116" s="9"/>
      <c r="C116" s="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 customHeight="1" x14ac:dyDescent="0.2">
      <c r="A117" s="9"/>
      <c r="B117" s="9"/>
      <c r="C117" s="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 customHeight="1" x14ac:dyDescent="0.2">
      <c r="A118" s="9"/>
      <c r="B118" s="9"/>
      <c r="C118" s="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customHeight="1" x14ac:dyDescent="0.2">
      <c r="A119" s="9"/>
      <c r="B119" s="9"/>
      <c r="C119" s="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 customHeight="1" x14ac:dyDescent="0.2">
      <c r="A120" s="9"/>
      <c r="B120" s="9"/>
      <c r="C120" s="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 customHeight="1" x14ac:dyDescent="0.2">
      <c r="A121" s="9"/>
      <c r="B121" s="9"/>
      <c r="C121" s="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 customHeight="1" x14ac:dyDescent="0.2">
      <c r="A122" s="9"/>
      <c r="B122" s="9"/>
      <c r="C122" s="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 customHeight="1" x14ac:dyDescent="0.2">
      <c r="A123" s="9"/>
      <c r="B123" s="9"/>
      <c r="C123" s="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 customHeight="1" x14ac:dyDescent="0.2">
      <c r="A124" s="9"/>
      <c r="B124" s="9"/>
      <c r="C124" s="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 customHeight="1" x14ac:dyDescent="0.2">
      <c r="A125" s="9"/>
      <c r="B125" s="9"/>
      <c r="C125" s="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 customHeight="1" x14ac:dyDescent="0.2">
      <c r="A126" s="9"/>
      <c r="B126" s="9"/>
      <c r="C126" s="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 customHeight="1" x14ac:dyDescent="0.2">
      <c r="A127" s="9"/>
      <c r="B127" s="9"/>
      <c r="C127" s="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 customHeight="1" x14ac:dyDescent="0.2">
      <c r="A128" s="9"/>
      <c r="B128" s="9"/>
      <c r="C128" s="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 customHeight="1" x14ac:dyDescent="0.2">
      <c r="A129" s="9"/>
      <c r="B129" s="9"/>
      <c r="C129" s="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 customHeight="1" x14ac:dyDescent="0.2">
      <c r="A130" s="9"/>
      <c r="B130" s="9"/>
      <c r="C130" s="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 customHeight="1" x14ac:dyDescent="0.2">
      <c r="A131" s="9"/>
      <c r="B131" s="9"/>
      <c r="C131" s="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 customHeight="1" x14ac:dyDescent="0.2">
      <c r="A132" s="9"/>
      <c r="B132" s="9"/>
      <c r="C132" s="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 customHeight="1" x14ac:dyDescent="0.2">
      <c r="A133" s="9"/>
      <c r="B133" s="9"/>
      <c r="C133" s="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 customHeight="1" x14ac:dyDescent="0.2">
      <c r="A134" s="9"/>
      <c r="B134" s="9"/>
      <c r="C134" s="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 customHeight="1" x14ac:dyDescent="0.2">
      <c r="A135" s="9"/>
      <c r="B135" s="9"/>
      <c r="C135" s="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 customHeight="1" x14ac:dyDescent="0.2">
      <c r="A136" s="9"/>
      <c r="B136" s="9"/>
      <c r="C136" s="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 customHeight="1" x14ac:dyDescent="0.2">
      <c r="A137" s="9"/>
      <c r="B137" s="9"/>
      <c r="C137" s="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 customHeight="1" x14ac:dyDescent="0.2">
      <c r="A138" s="9"/>
      <c r="B138" s="9"/>
      <c r="C138" s="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 customHeight="1" x14ac:dyDescent="0.2">
      <c r="A139" s="9"/>
      <c r="B139" s="9"/>
      <c r="C139" s="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 customHeight="1" x14ac:dyDescent="0.2">
      <c r="A140" s="9"/>
      <c r="B140" s="9"/>
      <c r="C140" s="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 customHeight="1" x14ac:dyDescent="0.2">
      <c r="A141" s="9"/>
      <c r="B141" s="9"/>
      <c r="C141" s="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 customHeight="1" x14ac:dyDescent="0.2">
      <c r="A142" s="9"/>
      <c r="B142" s="9"/>
      <c r="C142" s="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 customHeight="1" x14ac:dyDescent="0.2">
      <c r="A143" s="9"/>
      <c r="B143" s="9"/>
      <c r="C143" s="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customHeight="1" x14ac:dyDescent="0.2">
      <c r="A144" s="9"/>
      <c r="B144" s="9"/>
      <c r="C144" s="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customHeight="1" x14ac:dyDescent="0.2">
      <c r="A145" s="9"/>
      <c r="B145" s="9"/>
      <c r="C145" s="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customHeight="1" x14ac:dyDescent="0.2">
      <c r="A146" s="9"/>
      <c r="B146" s="9"/>
      <c r="C146" s="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customHeight="1" x14ac:dyDescent="0.2">
      <c r="A147" s="9"/>
      <c r="B147" s="9"/>
      <c r="C147" s="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customHeight="1" x14ac:dyDescent="0.2">
      <c r="A148" s="9"/>
      <c r="B148" s="9"/>
      <c r="C148" s="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 customHeight="1" x14ac:dyDescent="0.2">
      <c r="A149" s="9"/>
      <c r="B149" s="9"/>
      <c r="C149" s="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 customHeight="1" x14ac:dyDescent="0.2">
      <c r="A150" s="9"/>
      <c r="B150" s="9"/>
      <c r="C150" s="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 customHeight="1" x14ac:dyDescent="0.2">
      <c r="A151" s="9"/>
      <c r="B151" s="9"/>
      <c r="C151" s="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customHeight="1" x14ac:dyDescent="0.2">
      <c r="A152" s="9"/>
      <c r="B152" s="9"/>
      <c r="C152" s="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customHeight="1" x14ac:dyDescent="0.2">
      <c r="A153" s="9"/>
      <c r="B153" s="9"/>
      <c r="C153" s="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 customHeight="1" x14ac:dyDescent="0.2">
      <c r="A154" s="9"/>
      <c r="B154" s="9"/>
      <c r="C154" s="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 customHeight="1" x14ac:dyDescent="0.2">
      <c r="A155" s="9"/>
      <c r="B155" s="9"/>
      <c r="C155" s="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 customHeight="1" x14ac:dyDescent="0.2">
      <c r="A156" s="9"/>
      <c r="B156" s="9"/>
      <c r="C156" s="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 customHeight="1" x14ac:dyDescent="0.2">
      <c r="A157" s="9"/>
      <c r="B157" s="9"/>
      <c r="C157" s="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 customHeight="1" x14ac:dyDescent="0.2">
      <c r="A158" s="9"/>
      <c r="B158" s="9"/>
      <c r="C158" s="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 customHeight="1" x14ac:dyDescent="0.2">
      <c r="A159" s="9"/>
      <c r="B159" s="9"/>
      <c r="C159" s="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customHeight="1" x14ac:dyDescent="0.2">
      <c r="A160" s="9"/>
      <c r="B160" s="9"/>
      <c r="C160" s="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customHeight="1" x14ac:dyDescent="0.2">
      <c r="A161" s="9"/>
      <c r="B161" s="9"/>
      <c r="C161" s="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customHeight="1" x14ac:dyDescent="0.2">
      <c r="A162" s="9"/>
      <c r="B162" s="9"/>
      <c r="C162" s="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customHeight="1" x14ac:dyDescent="0.2">
      <c r="A163" s="9"/>
      <c r="B163" s="9"/>
      <c r="C163" s="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customHeight="1" x14ac:dyDescent="0.2">
      <c r="A164" s="9"/>
      <c r="B164" s="9"/>
      <c r="C164" s="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 customHeight="1" x14ac:dyDescent="0.2">
      <c r="A165" s="9"/>
      <c r="B165" s="9"/>
      <c r="C165" s="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 customHeight="1" x14ac:dyDescent="0.2">
      <c r="A166" s="9"/>
      <c r="B166" s="9"/>
      <c r="C166" s="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 customHeight="1" x14ac:dyDescent="0.2">
      <c r="A167" s="9"/>
      <c r="B167" s="9"/>
      <c r="C167" s="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 customHeight="1" x14ac:dyDescent="0.2">
      <c r="A168" s="9"/>
      <c r="B168" s="9"/>
      <c r="C168" s="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 customHeight="1" x14ac:dyDescent="0.2">
      <c r="A169" s="9"/>
      <c r="B169" s="9"/>
      <c r="C169" s="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 customHeight="1" x14ac:dyDescent="0.2">
      <c r="A170" s="9"/>
      <c r="B170" s="9"/>
      <c r="C170" s="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 customHeight="1" x14ac:dyDescent="0.2">
      <c r="A171" s="9"/>
      <c r="B171" s="9"/>
      <c r="C171" s="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 customHeight="1" x14ac:dyDescent="0.2">
      <c r="A172" s="9"/>
      <c r="B172" s="9"/>
      <c r="C172" s="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 customHeight="1" x14ac:dyDescent="0.2">
      <c r="A173" s="9"/>
      <c r="B173" s="9"/>
      <c r="C173" s="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customHeight="1" x14ac:dyDescent="0.2">
      <c r="A174" s="9"/>
      <c r="B174" s="9"/>
      <c r="C174" s="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customHeight="1" x14ac:dyDescent="0.2">
      <c r="A175" s="9"/>
      <c r="B175" s="9"/>
      <c r="C175" s="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customHeight="1" x14ac:dyDescent="0.2">
      <c r="A176" s="9"/>
      <c r="B176" s="9"/>
      <c r="C176" s="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 customHeight="1" x14ac:dyDescent="0.2">
      <c r="A177" s="9"/>
      <c r="B177" s="9"/>
      <c r="C177" s="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 customHeight="1" x14ac:dyDescent="0.2">
      <c r="A178" s="9"/>
      <c r="B178" s="9"/>
      <c r="C178" s="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 customHeight="1" x14ac:dyDescent="0.2">
      <c r="A179" s="9"/>
      <c r="B179" s="9"/>
      <c r="C179" s="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 customHeight="1" x14ac:dyDescent="0.2">
      <c r="A180" s="9"/>
      <c r="B180" s="9"/>
      <c r="C180" s="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 customHeight="1" x14ac:dyDescent="0.2">
      <c r="A181" s="9"/>
      <c r="B181" s="9"/>
      <c r="C181" s="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customHeight="1" x14ac:dyDescent="0.2">
      <c r="A182" s="9"/>
      <c r="B182" s="9"/>
      <c r="C182" s="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2">
      <c r="A183" s="9"/>
      <c r="B183" s="9"/>
      <c r="C183" s="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 customHeight="1" x14ac:dyDescent="0.2">
      <c r="A184" s="9"/>
      <c r="B184" s="9"/>
      <c r="C184" s="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customHeight="1" x14ac:dyDescent="0.2">
      <c r="A185" s="9"/>
      <c r="B185" s="9"/>
      <c r="C185" s="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 customHeight="1" x14ac:dyDescent="0.2">
      <c r="A186" s="9"/>
      <c r="B186" s="9"/>
      <c r="C186" s="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customHeight="1" x14ac:dyDescent="0.2">
      <c r="A187" s="9"/>
      <c r="B187" s="9"/>
      <c r="C187" s="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customHeight="1" x14ac:dyDescent="0.2">
      <c r="A188" s="9"/>
      <c r="B188" s="9"/>
      <c r="C188" s="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 customHeight="1" x14ac:dyDescent="0.2">
      <c r="A189" s="9"/>
      <c r="B189" s="9"/>
      <c r="C189" s="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 customHeight="1" x14ac:dyDescent="0.2">
      <c r="A190" s="9"/>
      <c r="B190" s="9"/>
      <c r="C190" s="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 customHeight="1" x14ac:dyDescent="0.2">
      <c r="A191" s="9"/>
      <c r="B191" s="9"/>
      <c r="C191" s="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 customHeight="1" x14ac:dyDescent="0.2">
      <c r="A192" s="9"/>
      <c r="B192" s="9"/>
      <c r="C192" s="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 customHeight="1" x14ac:dyDescent="0.2">
      <c r="A193" s="9"/>
      <c r="B193" s="9"/>
      <c r="C193" s="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 customHeight="1" x14ac:dyDescent="0.2">
      <c r="A194" s="9"/>
      <c r="B194" s="9"/>
      <c r="C194" s="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customHeight="1" x14ac:dyDescent="0.2">
      <c r="A195" s="9"/>
      <c r="B195" s="9"/>
      <c r="C195" s="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customHeight="1" x14ac:dyDescent="0.2">
      <c r="A196" s="9"/>
      <c r="B196" s="9"/>
      <c r="C196" s="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 customHeight="1" x14ac:dyDescent="0.2">
      <c r="A197" s="9"/>
      <c r="B197" s="9"/>
      <c r="C197" s="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 customHeight="1" x14ac:dyDescent="0.2">
      <c r="A198" s="9"/>
      <c r="B198" s="9"/>
      <c r="C198" s="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 customHeight="1" x14ac:dyDescent="0.2">
      <c r="A199" s="9"/>
      <c r="B199" s="9"/>
      <c r="C199" s="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 customHeight="1" x14ac:dyDescent="0.2">
      <c r="A200" s="9"/>
      <c r="B200" s="9"/>
      <c r="C200" s="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 customHeight="1" x14ac:dyDescent="0.2">
      <c r="A201" s="9"/>
      <c r="B201" s="9"/>
      <c r="C201" s="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 customHeight="1" x14ac:dyDescent="0.2">
      <c r="A202" s="9"/>
      <c r="B202" s="9"/>
      <c r="C202" s="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 customHeight="1" x14ac:dyDescent="0.2">
      <c r="A203" s="9"/>
      <c r="B203" s="9"/>
      <c r="C203" s="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 x14ac:dyDescent="0.2">
      <c r="A204" s="9"/>
      <c r="B204" s="9"/>
      <c r="C204" s="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 x14ac:dyDescent="0.2">
      <c r="A205" s="9"/>
      <c r="B205" s="9"/>
      <c r="C205" s="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 x14ac:dyDescent="0.2">
      <c r="A206" s="9"/>
      <c r="B206" s="9"/>
      <c r="C206" s="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 x14ac:dyDescent="0.2">
      <c r="A207" s="9"/>
      <c r="B207" s="9"/>
      <c r="C207" s="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 x14ac:dyDescent="0.2">
      <c r="A208" s="9"/>
      <c r="B208" s="9"/>
      <c r="C208" s="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 x14ac:dyDescent="0.2">
      <c r="A209" s="9"/>
      <c r="B209" s="9"/>
      <c r="C209" s="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 x14ac:dyDescent="0.2">
      <c r="A210" s="9"/>
      <c r="B210" s="9"/>
      <c r="C210" s="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 x14ac:dyDescent="0.2">
      <c r="A211" s="9"/>
      <c r="B211" s="9"/>
      <c r="C211" s="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 x14ac:dyDescent="0.2">
      <c r="A212" s="9"/>
      <c r="B212" s="9"/>
      <c r="C212" s="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 x14ac:dyDescent="0.2">
      <c r="A213" s="9"/>
      <c r="B213" s="9"/>
      <c r="C213" s="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 x14ac:dyDescent="0.2">
      <c r="A214" s="9"/>
      <c r="B214" s="9"/>
      <c r="C214" s="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 x14ac:dyDescent="0.2">
      <c r="A215" s="9"/>
      <c r="B215" s="9"/>
      <c r="C215" s="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 x14ac:dyDescent="0.2">
      <c r="A216" s="9"/>
      <c r="B216" s="9"/>
      <c r="C216" s="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 x14ac:dyDescent="0.2">
      <c r="A217" s="9"/>
      <c r="B217" s="9"/>
      <c r="C217" s="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 x14ac:dyDescent="0.2">
      <c r="A218" s="9"/>
      <c r="B218" s="9"/>
      <c r="C218" s="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 x14ac:dyDescent="0.2">
      <c r="A219" s="9"/>
      <c r="B219" s="9"/>
      <c r="C219" s="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 x14ac:dyDescent="0.2">
      <c r="A220" s="9"/>
      <c r="B220" s="9"/>
      <c r="C220" s="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 x14ac:dyDescent="0.2">
      <c r="A221" s="9"/>
      <c r="B221" s="9"/>
      <c r="C221" s="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 x14ac:dyDescent="0.2">
      <c r="A222" s="9"/>
      <c r="B222" s="9"/>
      <c r="C222" s="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2">
      <c r="A223" s="9"/>
      <c r="B223" s="9"/>
      <c r="C223" s="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 x14ac:dyDescent="0.2">
      <c r="A224" s="9"/>
      <c r="B224" s="9"/>
      <c r="C224" s="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 x14ac:dyDescent="0.2">
      <c r="A225" s="9"/>
      <c r="B225" s="9"/>
      <c r="C225" s="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 x14ac:dyDescent="0.2">
      <c r="A226" s="9"/>
      <c r="B226" s="9"/>
      <c r="C226" s="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 x14ac:dyDescent="0.2">
      <c r="A227" s="9"/>
      <c r="B227" s="9"/>
      <c r="C227" s="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 x14ac:dyDescent="0.2">
      <c r="A228" s="9"/>
      <c r="B228" s="9"/>
      <c r="C228" s="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 x14ac:dyDescent="0.2">
      <c r="A229" s="9"/>
      <c r="B229" s="9"/>
      <c r="C229" s="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 x14ac:dyDescent="0.2">
      <c r="A230" s="9"/>
      <c r="B230" s="9"/>
      <c r="C230" s="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 x14ac:dyDescent="0.2">
      <c r="A231" s="9"/>
      <c r="B231" s="9"/>
      <c r="C231" s="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 x14ac:dyDescent="0.2">
      <c r="A232" s="9"/>
      <c r="B232" s="9"/>
      <c r="C232" s="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 x14ac:dyDescent="0.2">
      <c r="A233" s="9"/>
      <c r="B233" s="9"/>
      <c r="C233" s="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x14ac:dyDescent="0.2">
      <c r="A234" s="9"/>
      <c r="B234" s="9"/>
      <c r="C234" s="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 x14ac:dyDescent="0.2">
      <c r="A235" s="9"/>
      <c r="B235" s="9"/>
      <c r="C235" s="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 x14ac:dyDescent="0.2">
      <c r="A236" s="9"/>
      <c r="B236" s="9"/>
      <c r="C236" s="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 x14ac:dyDescent="0.2">
      <c r="A237" s="9"/>
      <c r="B237" s="9"/>
      <c r="C237" s="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 x14ac:dyDescent="0.2">
      <c r="A238" s="9"/>
      <c r="B238" s="9"/>
      <c r="C238" s="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 x14ac:dyDescent="0.2">
      <c r="A239" s="9"/>
      <c r="B239" s="9"/>
      <c r="C239" s="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 x14ac:dyDescent="0.2">
      <c r="A240" s="9"/>
      <c r="B240" s="9"/>
      <c r="C240" s="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 x14ac:dyDescent="0.2">
      <c r="A241" s="9"/>
      <c r="B241" s="9"/>
      <c r="C241" s="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 x14ac:dyDescent="0.2">
      <c r="A242" s="9"/>
      <c r="B242" s="9"/>
      <c r="C242" s="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 x14ac:dyDescent="0.2">
      <c r="A243" s="9"/>
      <c r="B243" s="9"/>
      <c r="C243" s="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 x14ac:dyDescent="0.2">
      <c r="A244" s="9"/>
      <c r="B244" s="9"/>
      <c r="C244" s="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 x14ac:dyDescent="0.2">
      <c r="A245" s="9"/>
      <c r="B245" s="9"/>
      <c r="C245" s="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 x14ac:dyDescent="0.2">
      <c r="A246" s="9"/>
      <c r="B246" s="9"/>
      <c r="C246" s="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 x14ac:dyDescent="0.2">
      <c r="A247" s="9"/>
      <c r="B247" s="9"/>
      <c r="C247" s="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 x14ac:dyDescent="0.2">
      <c r="A248" s="9"/>
      <c r="B248" s="9"/>
      <c r="C248" s="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 x14ac:dyDescent="0.2">
      <c r="A249" s="9"/>
      <c r="B249" s="9"/>
      <c r="C249" s="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 x14ac:dyDescent="0.2">
      <c r="A250" s="9"/>
      <c r="B250" s="9"/>
      <c r="C250" s="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 x14ac:dyDescent="0.2">
      <c r="A251" s="9"/>
      <c r="B251" s="9"/>
      <c r="C251" s="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 x14ac:dyDescent="0.2">
      <c r="A252" s="9"/>
      <c r="B252" s="9"/>
      <c r="C252" s="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 x14ac:dyDescent="0.2">
      <c r="A253" s="9"/>
      <c r="B253" s="9"/>
      <c r="C253" s="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 x14ac:dyDescent="0.2">
      <c r="A254" s="9"/>
      <c r="B254" s="9"/>
      <c r="C254" s="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 x14ac:dyDescent="0.2">
      <c r="A255" s="9"/>
      <c r="B255" s="9"/>
      <c r="C255" s="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 x14ac:dyDescent="0.2">
      <c r="A256" s="9"/>
      <c r="B256" s="9"/>
      <c r="C256" s="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 x14ac:dyDescent="0.2">
      <c r="A257" s="9"/>
      <c r="B257" s="9"/>
      <c r="C257" s="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 x14ac:dyDescent="0.2">
      <c r="A258" s="9"/>
      <c r="B258" s="9"/>
      <c r="C258" s="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 x14ac:dyDescent="0.2">
      <c r="A259" s="9"/>
      <c r="B259" s="9"/>
      <c r="C259" s="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 x14ac:dyDescent="0.2">
      <c r="A260" s="9"/>
      <c r="B260" s="9"/>
      <c r="C260" s="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 x14ac:dyDescent="0.2">
      <c r="A261" s="9"/>
      <c r="B261" s="9"/>
      <c r="C261" s="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 x14ac:dyDescent="0.2">
      <c r="A262" s="9"/>
      <c r="B262" s="9"/>
      <c r="C262" s="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 x14ac:dyDescent="0.2">
      <c r="A263" s="9"/>
      <c r="B263" s="9"/>
      <c r="C263" s="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 x14ac:dyDescent="0.2">
      <c r="A264" s="9"/>
      <c r="B264" s="9"/>
      <c r="C264" s="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 x14ac:dyDescent="0.2">
      <c r="A265" s="9"/>
      <c r="B265" s="9"/>
      <c r="C265" s="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 x14ac:dyDescent="0.2">
      <c r="A266" s="9"/>
      <c r="B266" s="9"/>
      <c r="C266" s="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 x14ac:dyDescent="0.2">
      <c r="A267" s="9"/>
      <c r="B267" s="9"/>
      <c r="C267" s="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 x14ac:dyDescent="0.2">
      <c r="A268" s="9"/>
      <c r="B268" s="9"/>
      <c r="C268" s="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 x14ac:dyDescent="0.2">
      <c r="A269" s="9"/>
      <c r="B269" s="9"/>
      <c r="C269" s="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 x14ac:dyDescent="0.2">
      <c r="A270" s="9"/>
      <c r="B270" s="9"/>
      <c r="C270" s="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 x14ac:dyDescent="0.2">
      <c r="A271" s="9"/>
      <c r="B271" s="9"/>
      <c r="C271" s="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 x14ac:dyDescent="0.2">
      <c r="A272" s="9"/>
      <c r="B272" s="9"/>
      <c r="C272" s="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 x14ac:dyDescent="0.2">
      <c r="A273" s="9"/>
      <c r="B273" s="9"/>
      <c r="C273" s="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 x14ac:dyDescent="0.2">
      <c r="A274" s="9"/>
      <c r="B274" s="9"/>
      <c r="C274" s="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 x14ac:dyDescent="0.2">
      <c r="A275" s="9"/>
      <c r="B275" s="9"/>
      <c r="C275" s="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 x14ac:dyDescent="0.2">
      <c r="A276" s="9"/>
      <c r="B276" s="9"/>
      <c r="C276" s="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 x14ac:dyDescent="0.2">
      <c r="A277" s="9"/>
      <c r="B277" s="9"/>
      <c r="C277" s="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 x14ac:dyDescent="0.2">
      <c r="A278" s="9"/>
      <c r="B278" s="9"/>
      <c r="C278" s="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 x14ac:dyDescent="0.2">
      <c r="A279" s="9"/>
      <c r="B279" s="9"/>
      <c r="C279" s="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 x14ac:dyDescent="0.2">
      <c r="A280" s="9"/>
      <c r="B280" s="9"/>
      <c r="C280" s="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 x14ac:dyDescent="0.2">
      <c r="A281" s="9"/>
      <c r="B281" s="9"/>
      <c r="C281" s="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 x14ac:dyDescent="0.2">
      <c r="A282" s="9"/>
      <c r="B282" s="9"/>
      <c r="C282" s="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 x14ac:dyDescent="0.2">
      <c r="A283" s="9"/>
      <c r="B283" s="9"/>
      <c r="C283" s="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 x14ac:dyDescent="0.2">
      <c r="A284" s="9"/>
      <c r="B284" s="9"/>
      <c r="C284" s="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 x14ac:dyDescent="0.2">
      <c r="A285" s="9"/>
      <c r="B285" s="9"/>
      <c r="C285" s="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 x14ac:dyDescent="0.2">
      <c r="A286" s="9"/>
      <c r="B286" s="9"/>
      <c r="C286" s="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 x14ac:dyDescent="0.2">
      <c r="A287" s="9"/>
      <c r="B287" s="9"/>
      <c r="C287" s="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 x14ac:dyDescent="0.2">
      <c r="A288" s="9"/>
      <c r="B288" s="9"/>
      <c r="C288" s="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 x14ac:dyDescent="0.2">
      <c r="A289" s="9"/>
      <c r="B289" s="9"/>
      <c r="C289" s="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 x14ac:dyDescent="0.2">
      <c r="A290" s="9"/>
      <c r="B290" s="9"/>
      <c r="C290" s="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 x14ac:dyDescent="0.2">
      <c r="A291" s="9"/>
      <c r="B291" s="9"/>
      <c r="C291" s="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 x14ac:dyDescent="0.2">
      <c r="A292" s="9"/>
      <c r="B292" s="9"/>
      <c r="C292" s="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 x14ac:dyDescent="0.2">
      <c r="A293" s="9"/>
      <c r="B293" s="9"/>
      <c r="C293" s="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 x14ac:dyDescent="0.2">
      <c r="A294" s="9"/>
      <c r="B294" s="9"/>
      <c r="C294" s="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 x14ac:dyDescent="0.2">
      <c r="A295" s="9"/>
      <c r="B295" s="9"/>
      <c r="C295" s="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 x14ac:dyDescent="0.2">
      <c r="A296" s="9"/>
      <c r="B296" s="9"/>
      <c r="C296" s="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 x14ac:dyDescent="0.2">
      <c r="A297" s="9"/>
      <c r="B297" s="9"/>
      <c r="C297" s="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 x14ac:dyDescent="0.2">
      <c r="A298" s="9"/>
      <c r="B298" s="9"/>
      <c r="C298" s="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 x14ac:dyDescent="0.2">
      <c r="A299" s="9"/>
      <c r="B299" s="9"/>
      <c r="C299" s="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 x14ac:dyDescent="0.2">
      <c r="A300" s="9"/>
      <c r="B300" s="9"/>
      <c r="C300" s="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 x14ac:dyDescent="0.2">
      <c r="A301" s="9"/>
      <c r="B301" s="9"/>
      <c r="C301" s="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 x14ac:dyDescent="0.2">
      <c r="A302" s="9"/>
      <c r="B302" s="9"/>
      <c r="C302" s="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 x14ac:dyDescent="0.2">
      <c r="A303" s="9"/>
      <c r="B303" s="9"/>
      <c r="C303" s="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 x14ac:dyDescent="0.2">
      <c r="A304" s="9"/>
      <c r="B304" s="9"/>
      <c r="C304" s="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 x14ac:dyDescent="0.2">
      <c r="A305" s="9"/>
      <c r="B305" s="9"/>
      <c r="C305" s="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 x14ac:dyDescent="0.2">
      <c r="A306" s="9"/>
      <c r="B306" s="9"/>
      <c r="C306" s="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 x14ac:dyDescent="0.2">
      <c r="A307" s="9"/>
      <c r="B307" s="9"/>
      <c r="C307" s="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 x14ac:dyDescent="0.2">
      <c r="A308" s="9"/>
      <c r="B308" s="9"/>
      <c r="C308" s="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 x14ac:dyDescent="0.2">
      <c r="A309" s="9"/>
      <c r="B309" s="9"/>
      <c r="C309" s="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 x14ac:dyDescent="0.2">
      <c r="A310" s="9"/>
      <c r="B310" s="9"/>
      <c r="C310" s="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 x14ac:dyDescent="0.2">
      <c r="A311" s="9"/>
      <c r="B311" s="9"/>
      <c r="C311" s="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 x14ac:dyDescent="0.2">
      <c r="A312" s="9"/>
      <c r="B312" s="9"/>
      <c r="C312" s="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 x14ac:dyDescent="0.2">
      <c r="A313" s="9"/>
      <c r="B313" s="9"/>
      <c r="C313" s="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 x14ac:dyDescent="0.2">
      <c r="A314" s="9"/>
      <c r="B314" s="9"/>
      <c r="C314" s="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 x14ac:dyDescent="0.2">
      <c r="A315" s="9"/>
      <c r="B315" s="9"/>
      <c r="C315" s="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 x14ac:dyDescent="0.2">
      <c r="A316" s="9"/>
      <c r="B316" s="9"/>
      <c r="C316" s="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 x14ac:dyDescent="0.2">
      <c r="A317" s="9"/>
      <c r="B317" s="9"/>
      <c r="C317" s="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 x14ac:dyDescent="0.2">
      <c r="A318" s="9"/>
      <c r="B318" s="9"/>
      <c r="C318" s="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 x14ac:dyDescent="0.2">
      <c r="A319" s="9"/>
      <c r="B319" s="9"/>
      <c r="C319" s="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 x14ac:dyDescent="0.2">
      <c r="A320" s="9"/>
      <c r="B320" s="9"/>
      <c r="C320" s="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 x14ac:dyDescent="0.2">
      <c r="A321" s="9"/>
      <c r="B321" s="9"/>
      <c r="C321" s="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 x14ac:dyDescent="0.2">
      <c r="A322" s="9"/>
      <c r="B322" s="9"/>
      <c r="C322" s="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 x14ac:dyDescent="0.2">
      <c r="A323" s="9"/>
      <c r="B323" s="9"/>
      <c r="C323" s="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 x14ac:dyDescent="0.2">
      <c r="A324" s="9"/>
      <c r="B324" s="9"/>
      <c r="C324" s="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 x14ac:dyDescent="0.2">
      <c r="A325" s="9"/>
      <c r="B325" s="9"/>
      <c r="C325" s="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 x14ac:dyDescent="0.2">
      <c r="A326" s="9"/>
      <c r="B326" s="9"/>
      <c r="C326" s="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 x14ac:dyDescent="0.2">
      <c r="A327" s="9"/>
      <c r="B327" s="9"/>
      <c r="C327" s="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 x14ac:dyDescent="0.2">
      <c r="A328" s="9"/>
      <c r="B328" s="9"/>
      <c r="C328" s="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 x14ac:dyDescent="0.2">
      <c r="A329" s="9"/>
      <c r="B329" s="9"/>
      <c r="C329" s="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 x14ac:dyDescent="0.2">
      <c r="A330" s="9"/>
      <c r="B330" s="9"/>
      <c r="C330" s="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 x14ac:dyDescent="0.2">
      <c r="A331" s="9"/>
      <c r="B331" s="9"/>
      <c r="C331" s="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 x14ac:dyDescent="0.2">
      <c r="A332" s="9"/>
      <c r="B332" s="9"/>
      <c r="C332" s="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 x14ac:dyDescent="0.2">
      <c r="A333" s="9"/>
      <c r="B333" s="9"/>
      <c r="C333" s="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 x14ac:dyDescent="0.2">
      <c r="A334" s="9"/>
      <c r="B334" s="9"/>
      <c r="C334" s="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 x14ac:dyDescent="0.2">
      <c r="A335" s="9"/>
      <c r="B335" s="9"/>
      <c r="C335" s="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 x14ac:dyDescent="0.2">
      <c r="A336" s="9"/>
      <c r="B336" s="9"/>
      <c r="C336" s="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 x14ac:dyDescent="0.2">
      <c r="A337" s="9"/>
      <c r="B337" s="9"/>
      <c r="C337" s="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 x14ac:dyDescent="0.2">
      <c r="A338" s="9"/>
      <c r="B338" s="9"/>
      <c r="C338" s="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 x14ac:dyDescent="0.2">
      <c r="A339" s="9"/>
      <c r="B339" s="9"/>
      <c r="C339" s="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 x14ac:dyDescent="0.2">
      <c r="A340" s="9"/>
      <c r="B340" s="9"/>
      <c r="C340" s="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 x14ac:dyDescent="0.2">
      <c r="A341" s="9"/>
      <c r="B341" s="9"/>
      <c r="C341" s="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 x14ac:dyDescent="0.2">
      <c r="A342" s="9"/>
      <c r="B342" s="9"/>
      <c r="C342" s="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 x14ac:dyDescent="0.2">
      <c r="A343" s="9"/>
      <c r="B343" s="9"/>
      <c r="C343" s="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 x14ac:dyDescent="0.2">
      <c r="A344" s="9"/>
      <c r="B344" s="9"/>
      <c r="C344" s="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 x14ac:dyDescent="0.2">
      <c r="A345" s="9"/>
      <c r="B345" s="9"/>
      <c r="C345" s="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 x14ac:dyDescent="0.2">
      <c r="A346" s="9"/>
      <c r="B346" s="9"/>
      <c r="C346" s="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 x14ac:dyDescent="0.2">
      <c r="A347" s="9"/>
      <c r="B347" s="9"/>
      <c r="C347" s="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 x14ac:dyDescent="0.2">
      <c r="A348" s="9"/>
      <c r="B348" s="9"/>
      <c r="C348" s="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 x14ac:dyDescent="0.2">
      <c r="A349" s="9"/>
      <c r="B349" s="9"/>
      <c r="C349" s="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 x14ac:dyDescent="0.2">
      <c r="A350" s="9"/>
      <c r="B350" s="9"/>
      <c r="C350" s="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 x14ac:dyDescent="0.2">
      <c r="A351" s="9"/>
      <c r="B351" s="9"/>
      <c r="C351" s="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 x14ac:dyDescent="0.2">
      <c r="A352" s="9"/>
      <c r="B352" s="9"/>
      <c r="C352" s="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 x14ac:dyDescent="0.2">
      <c r="A353" s="9"/>
      <c r="B353" s="9"/>
      <c r="C353" s="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 x14ac:dyDescent="0.2">
      <c r="A354" s="9"/>
      <c r="B354" s="9"/>
      <c r="C354" s="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 x14ac:dyDescent="0.2">
      <c r="A355" s="9"/>
      <c r="B355" s="9"/>
      <c r="C355" s="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 x14ac:dyDescent="0.2">
      <c r="A356" s="9"/>
      <c r="B356" s="9"/>
      <c r="C356" s="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 x14ac:dyDescent="0.2">
      <c r="A357" s="9"/>
      <c r="B357" s="9"/>
      <c r="C357" s="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 x14ac:dyDescent="0.2">
      <c r="A358" s="9"/>
      <c r="B358" s="9"/>
      <c r="C358" s="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 x14ac:dyDescent="0.2">
      <c r="A359" s="9"/>
      <c r="B359" s="9"/>
      <c r="C359" s="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 x14ac:dyDescent="0.2">
      <c r="A360" s="9"/>
      <c r="B360" s="9"/>
      <c r="C360" s="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 x14ac:dyDescent="0.2">
      <c r="A361" s="9"/>
      <c r="B361" s="9"/>
      <c r="C361" s="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 x14ac:dyDescent="0.2">
      <c r="A362" s="9"/>
      <c r="B362" s="9"/>
      <c r="C362" s="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 x14ac:dyDescent="0.2">
      <c r="A363" s="9"/>
      <c r="B363" s="9"/>
      <c r="C363" s="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 x14ac:dyDescent="0.2">
      <c r="A364" s="9"/>
      <c r="B364" s="9"/>
      <c r="C364" s="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 x14ac:dyDescent="0.2">
      <c r="A365" s="9"/>
      <c r="B365" s="9"/>
      <c r="C365" s="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 x14ac:dyDescent="0.2">
      <c r="A366" s="9"/>
      <c r="B366" s="9"/>
      <c r="C366" s="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 x14ac:dyDescent="0.2">
      <c r="A367" s="9"/>
      <c r="B367" s="9"/>
      <c r="C367" s="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 x14ac:dyDescent="0.2">
      <c r="A368" s="9"/>
      <c r="B368" s="9"/>
      <c r="C368" s="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 x14ac:dyDescent="0.2">
      <c r="A369" s="9"/>
      <c r="B369" s="9"/>
      <c r="C369" s="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 x14ac:dyDescent="0.2">
      <c r="A370" s="9"/>
      <c r="B370" s="9"/>
      <c r="C370" s="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 x14ac:dyDescent="0.2">
      <c r="A371" s="9"/>
      <c r="B371" s="9"/>
      <c r="C371" s="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 x14ac:dyDescent="0.2">
      <c r="A372" s="9"/>
      <c r="B372" s="9"/>
      <c r="C372" s="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 x14ac:dyDescent="0.2">
      <c r="A373" s="9"/>
      <c r="B373" s="9"/>
      <c r="C373" s="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 x14ac:dyDescent="0.2">
      <c r="A374" s="9"/>
      <c r="B374" s="9"/>
      <c r="C374" s="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 x14ac:dyDescent="0.2">
      <c r="A375" s="9"/>
      <c r="B375" s="9"/>
      <c r="C375" s="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 x14ac:dyDescent="0.2">
      <c r="A376" s="9"/>
      <c r="B376" s="9"/>
      <c r="C376" s="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 x14ac:dyDescent="0.2">
      <c r="A377" s="9"/>
      <c r="B377" s="9"/>
      <c r="C377" s="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 x14ac:dyDescent="0.2">
      <c r="A378" s="9"/>
      <c r="B378" s="9"/>
      <c r="C378" s="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 x14ac:dyDescent="0.2">
      <c r="A379" s="9"/>
      <c r="B379" s="9"/>
      <c r="C379" s="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 x14ac:dyDescent="0.2">
      <c r="A380" s="9"/>
      <c r="B380" s="9"/>
      <c r="C380" s="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 x14ac:dyDescent="0.2">
      <c r="A381" s="9"/>
      <c r="B381" s="9"/>
      <c r="C381" s="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 x14ac:dyDescent="0.2">
      <c r="A382" s="9"/>
      <c r="B382" s="9"/>
      <c r="C382" s="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 x14ac:dyDescent="0.2">
      <c r="A383" s="9"/>
      <c r="B383" s="9"/>
      <c r="C383" s="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 x14ac:dyDescent="0.2">
      <c r="A384" s="9"/>
      <c r="B384" s="9"/>
      <c r="C384" s="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 x14ac:dyDescent="0.2">
      <c r="A385" s="9"/>
      <c r="B385" s="9"/>
      <c r="C385" s="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 x14ac:dyDescent="0.2">
      <c r="A386" s="9"/>
      <c r="B386" s="9"/>
      <c r="C386" s="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 x14ac:dyDescent="0.2">
      <c r="A387" s="9"/>
      <c r="B387" s="9"/>
      <c r="C387" s="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 x14ac:dyDescent="0.2">
      <c r="A388" s="9"/>
      <c r="B388" s="9"/>
      <c r="C388" s="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 x14ac:dyDescent="0.2">
      <c r="A389" s="9"/>
      <c r="B389" s="9"/>
      <c r="C389" s="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 x14ac:dyDescent="0.2">
      <c r="A390" s="9"/>
      <c r="B390" s="9"/>
      <c r="C390" s="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 x14ac:dyDescent="0.2">
      <c r="A391" s="9"/>
      <c r="B391" s="9"/>
      <c r="C391" s="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 x14ac:dyDescent="0.2">
      <c r="A392" s="9"/>
      <c r="B392" s="9"/>
      <c r="C392" s="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 x14ac:dyDescent="0.2">
      <c r="A393" s="9"/>
      <c r="B393" s="9"/>
      <c r="C393" s="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 x14ac:dyDescent="0.2">
      <c r="A394" s="9"/>
      <c r="B394" s="9"/>
      <c r="C394" s="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 x14ac:dyDescent="0.2">
      <c r="A395" s="9"/>
      <c r="B395" s="9"/>
      <c r="C395" s="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 x14ac:dyDescent="0.2">
      <c r="A396" s="9"/>
      <c r="B396" s="9"/>
      <c r="C396" s="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 x14ac:dyDescent="0.2">
      <c r="A397" s="9"/>
      <c r="B397" s="9"/>
      <c r="C397" s="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 x14ac:dyDescent="0.2">
      <c r="A398" s="9"/>
      <c r="B398" s="9"/>
      <c r="C398" s="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 x14ac:dyDescent="0.2">
      <c r="A399" s="9"/>
      <c r="B399" s="9"/>
      <c r="C399" s="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 x14ac:dyDescent="0.2">
      <c r="A400" s="9"/>
      <c r="B400" s="9"/>
      <c r="C400" s="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 x14ac:dyDescent="0.2">
      <c r="A401" s="9"/>
      <c r="B401" s="9"/>
      <c r="C401" s="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 x14ac:dyDescent="0.2">
      <c r="A402" s="9"/>
      <c r="B402" s="9"/>
      <c r="C402" s="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 x14ac:dyDescent="0.2">
      <c r="A403" s="9"/>
      <c r="B403" s="9"/>
      <c r="C403" s="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 x14ac:dyDescent="0.2">
      <c r="A404" s="9"/>
      <c r="B404" s="9"/>
      <c r="C404" s="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 x14ac:dyDescent="0.2">
      <c r="A405" s="9"/>
      <c r="B405" s="9"/>
      <c r="C405" s="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 x14ac:dyDescent="0.2">
      <c r="A406" s="9"/>
      <c r="B406" s="9"/>
      <c r="C406" s="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 x14ac:dyDescent="0.2">
      <c r="A407" s="9"/>
      <c r="B407" s="9"/>
      <c r="C407" s="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 x14ac:dyDescent="0.2">
      <c r="A408" s="9"/>
      <c r="B408" s="9"/>
      <c r="C408" s="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 x14ac:dyDescent="0.2">
      <c r="A409" s="9"/>
      <c r="B409" s="9"/>
      <c r="C409" s="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 x14ac:dyDescent="0.2">
      <c r="A410" s="9"/>
      <c r="B410" s="9"/>
      <c r="C410" s="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 x14ac:dyDescent="0.2">
      <c r="A411" s="9"/>
      <c r="B411" s="9"/>
      <c r="C411" s="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 x14ac:dyDescent="0.2">
      <c r="A412" s="9"/>
      <c r="B412" s="9"/>
      <c r="C412" s="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 x14ac:dyDescent="0.2">
      <c r="A413" s="9"/>
      <c r="B413" s="9"/>
      <c r="C413" s="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 x14ac:dyDescent="0.2">
      <c r="A414" s="9"/>
      <c r="B414" s="9"/>
      <c r="C414" s="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 x14ac:dyDescent="0.2">
      <c r="A415" s="9"/>
      <c r="B415" s="9"/>
      <c r="C415" s="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 x14ac:dyDescent="0.2">
      <c r="A416" s="9"/>
      <c r="B416" s="9"/>
      <c r="C416" s="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 x14ac:dyDescent="0.2">
      <c r="A417" s="9"/>
      <c r="B417" s="9"/>
      <c r="C417" s="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 x14ac:dyDescent="0.2">
      <c r="A418" s="9"/>
      <c r="B418" s="9"/>
      <c r="C418" s="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 x14ac:dyDescent="0.2">
      <c r="A419" s="9"/>
      <c r="B419" s="9"/>
      <c r="C419" s="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 x14ac:dyDescent="0.2">
      <c r="A420" s="9"/>
      <c r="B420" s="9"/>
      <c r="C420" s="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 x14ac:dyDescent="0.2">
      <c r="A421" s="9"/>
      <c r="B421" s="9"/>
      <c r="C421" s="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 x14ac:dyDescent="0.2">
      <c r="A422" s="9"/>
      <c r="B422" s="9"/>
      <c r="C422" s="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 x14ac:dyDescent="0.2">
      <c r="A423" s="9"/>
      <c r="B423" s="9"/>
      <c r="C423" s="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 x14ac:dyDescent="0.2">
      <c r="A424" s="9"/>
      <c r="B424" s="9"/>
      <c r="C424" s="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 x14ac:dyDescent="0.2">
      <c r="A425" s="9"/>
      <c r="B425" s="9"/>
      <c r="C425" s="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 x14ac:dyDescent="0.2">
      <c r="A426" s="9"/>
      <c r="B426" s="9"/>
      <c r="C426" s="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 x14ac:dyDescent="0.2">
      <c r="A427" s="9"/>
      <c r="B427" s="9"/>
      <c r="C427" s="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 x14ac:dyDescent="0.2">
      <c r="A428" s="9"/>
      <c r="B428" s="9"/>
      <c r="C428" s="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 x14ac:dyDescent="0.2">
      <c r="A429" s="9"/>
      <c r="B429" s="9"/>
      <c r="C429" s="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 x14ac:dyDescent="0.2">
      <c r="A430" s="9"/>
      <c r="B430" s="9"/>
      <c r="C430" s="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 x14ac:dyDescent="0.2">
      <c r="A431" s="9"/>
      <c r="B431" s="9"/>
      <c r="C431" s="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 x14ac:dyDescent="0.2">
      <c r="A432" s="9"/>
      <c r="B432" s="9"/>
      <c r="C432" s="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 x14ac:dyDescent="0.2">
      <c r="A433" s="9"/>
      <c r="B433" s="9"/>
      <c r="C433" s="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 x14ac:dyDescent="0.2">
      <c r="A434" s="9"/>
      <c r="B434" s="9"/>
      <c r="C434" s="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 x14ac:dyDescent="0.2">
      <c r="A435" s="9"/>
      <c r="B435" s="9"/>
      <c r="C435" s="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 x14ac:dyDescent="0.2">
      <c r="A436" s="9"/>
      <c r="B436" s="9"/>
      <c r="C436" s="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 x14ac:dyDescent="0.2">
      <c r="A437" s="9"/>
      <c r="B437" s="9"/>
      <c r="C437" s="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 x14ac:dyDescent="0.2">
      <c r="A438" s="9"/>
      <c r="B438" s="9"/>
      <c r="C438" s="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 x14ac:dyDescent="0.2">
      <c r="A439" s="9"/>
      <c r="B439" s="9"/>
      <c r="C439" s="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 x14ac:dyDescent="0.2">
      <c r="A440" s="9"/>
      <c r="B440" s="9"/>
      <c r="C440" s="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 x14ac:dyDescent="0.2">
      <c r="A441" s="9"/>
      <c r="B441" s="9"/>
      <c r="C441" s="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 x14ac:dyDescent="0.2">
      <c r="A442" s="9"/>
      <c r="B442" s="9"/>
      <c r="C442" s="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 x14ac:dyDescent="0.2">
      <c r="A443" s="9"/>
      <c r="B443" s="9"/>
      <c r="C443" s="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 x14ac:dyDescent="0.2">
      <c r="A444" s="9"/>
      <c r="B444" s="9"/>
      <c r="C444" s="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 x14ac:dyDescent="0.2">
      <c r="A445" s="9"/>
      <c r="B445" s="9"/>
      <c r="C445" s="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 x14ac:dyDescent="0.2">
      <c r="A446" s="9"/>
      <c r="B446" s="9"/>
      <c r="C446" s="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 x14ac:dyDescent="0.2">
      <c r="A447" s="9"/>
      <c r="B447" s="9"/>
      <c r="C447" s="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 x14ac:dyDescent="0.2">
      <c r="A448" s="9"/>
      <c r="B448" s="9"/>
      <c r="C448" s="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 x14ac:dyDescent="0.2">
      <c r="A449" s="9"/>
      <c r="B449" s="9"/>
      <c r="C449" s="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 x14ac:dyDescent="0.2">
      <c r="A450" s="9"/>
      <c r="B450" s="9"/>
      <c r="C450" s="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 x14ac:dyDescent="0.2">
      <c r="A451" s="9"/>
      <c r="B451" s="9"/>
      <c r="C451" s="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 x14ac:dyDescent="0.2">
      <c r="A452" s="9"/>
      <c r="B452" s="9"/>
      <c r="C452" s="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 x14ac:dyDescent="0.2">
      <c r="A453" s="9"/>
      <c r="B453" s="9"/>
      <c r="C453" s="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 x14ac:dyDescent="0.2">
      <c r="A454" s="9"/>
      <c r="B454" s="9"/>
      <c r="C454" s="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 x14ac:dyDescent="0.2">
      <c r="A455" s="9"/>
      <c r="B455" s="9"/>
      <c r="C455" s="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 x14ac:dyDescent="0.2">
      <c r="A456" s="9"/>
      <c r="B456" s="9"/>
      <c r="C456" s="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 x14ac:dyDescent="0.2">
      <c r="A457" s="9"/>
      <c r="B457" s="9"/>
      <c r="C457" s="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 x14ac:dyDescent="0.2">
      <c r="A458" s="9"/>
      <c r="B458" s="9"/>
      <c r="C458" s="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 x14ac:dyDescent="0.2">
      <c r="A459" s="9"/>
      <c r="B459" s="9"/>
      <c r="C459" s="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 x14ac:dyDescent="0.2">
      <c r="A460" s="9"/>
      <c r="B460" s="9"/>
      <c r="C460" s="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 x14ac:dyDescent="0.2">
      <c r="A461" s="9"/>
      <c r="B461" s="9"/>
      <c r="C461" s="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 x14ac:dyDescent="0.2">
      <c r="A462" s="9"/>
      <c r="B462" s="9"/>
      <c r="C462" s="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 x14ac:dyDescent="0.2">
      <c r="A463" s="9"/>
      <c r="B463" s="9"/>
      <c r="C463" s="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 x14ac:dyDescent="0.2">
      <c r="A464" s="9"/>
      <c r="B464" s="9"/>
      <c r="C464" s="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 x14ac:dyDescent="0.2">
      <c r="A465" s="9"/>
      <c r="B465" s="9"/>
      <c r="C465" s="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 x14ac:dyDescent="0.2">
      <c r="A466" s="9"/>
      <c r="B466" s="9"/>
      <c r="C466" s="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 x14ac:dyDescent="0.2">
      <c r="A467" s="9"/>
      <c r="B467" s="9"/>
      <c r="C467" s="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 x14ac:dyDescent="0.2">
      <c r="A468" s="9"/>
      <c r="B468" s="9"/>
      <c r="C468" s="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 x14ac:dyDescent="0.2">
      <c r="A469" s="9"/>
      <c r="B469" s="9"/>
      <c r="C469" s="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 x14ac:dyDescent="0.2">
      <c r="A470" s="9"/>
      <c r="B470" s="9"/>
      <c r="C470" s="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 x14ac:dyDescent="0.2">
      <c r="A471" s="9"/>
      <c r="B471" s="9"/>
      <c r="C471" s="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 x14ac:dyDescent="0.2">
      <c r="A472" s="9"/>
      <c r="B472" s="9"/>
      <c r="C472" s="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 x14ac:dyDescent="0.2">
      <c r="A473" s="9"/>
      <c r="B473" s="9"/>
      <c r="C473" s="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 x14ac:dyDescent="0.2">
      <c r="A474" s="9"/>
      <c r="B474" s="9"/>
      <c r="C474" s="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 x14ac:dyDescent="0.2">
      <c r="A475" s="9"/>
      <c r="B475" s="9"/>
      <c r="C475" s="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 x14ac:dyDescent="0.2">
      <c r="A476" s="9"/>
      <c r="B476" s="9"/>
      <c r="C476" s="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 x14ac:dyDescent="0.2">
      <c r="A477" s="9"/>
      <c r="B477" s="9"/>
      <c r="C477" s="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 x14ac:dyDescent="0.2">
      <c r="A478" s="9"/>
      <c r="B478" s="9"/>
      <c r="C478" s="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 x14ac:dyDescent="0.2">
      <c r="A479" s="9"/>
      <c r="B479" s="9"/>
      <c r="C479" s="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 x14ac:dyDescent="0.2">
      <c r="A480" s="9"/>
      <c r="B480" s="9"/>
      <c r="C480" s="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 x14ac:dyDescent="0.2">
      <c r="A481" s="9"/>
      <c r="B481" s="9"/>
      <c r="C481" s="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 x14ac:dyDescent="0.2">
      <c r="A482" s="9"/>
      <c r="B482" s="9"/>
      <c r="C482" s="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 x14ac:dyDescent="0.2">
      <c r="A483" s="9"/>
      <c r="B483" s="9"/>
      <c r="C483" s="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 x14ac:dyDescent="0.2">
      <c r="A484" s="9"/>
      <c r="B484" s="9"/>
      <c r="C484" s="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 x14ac:dyDescent="0.2">
      <c r="A485" s="9"/>
      <c r="B485" s="9"/>
      <c r="C485" s="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 x14ac:dyDescent="0.2">
      <c r="A486" s="9"/>
      <c r="B486" s="9"/>
      <c r="C486" s="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 x14ac:dyDescent="0.2">
      <c r="A487" s="9"/>
      <c r="B487" s="9"/>
      <c r="C487" s="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 x14ac:dyDescent="0.2">
      <c r="A488" s="9"/>
      <c r="B488" s="9"/>
      <c r="C488" s="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 x14ac:dyDescent="0.2">
      <c r="A489" s="9"/>
      <c r="B489" s="9"/>
      <c r="C489" s="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 x14ac:dyDescent="0.2">
      <c r="A490" s="9"/>
      <c r="B490" s="9"/>
      <c r="C490" s="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 x14ac:dyDescent="0.2">
      <c r="A491" s="9"/>
      <c r="B491" s="9"/>
      <c r="C491" s="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 x14ac:dyDescent="0.2">
      <c r="A492" s="9"/>
      <c r="B492" s="9"/>
      <c r="C492" s="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 x14ac:dyDescent="0.2">
      <c r="A493" s="9"/>
      <c r="B493" s="9"/>
      <c r="C493" s="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 x14ac:dyDescent="0.2">
      <c r="A494" s="9"/>
      <c r="B494" s="9"/>
      <c r="C494" s="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 x14ac:dyDescent="0.2">
      <c r="A495" s="9"/>
      <c r="B495" s="9"/>
      <c r="C495" s="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 x14ac:dyDescent="0.2">
      <c r="A496" s="9"/>
      <c r="B496" s="9"/>
      <c r="C496" s="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 x14ac:dyDescent="0.2">
      <c r="A497" s="9"/>
      <c r="B497" s="9"/>
      <c r="C497" s="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 x14ac:dyDescent="0.2">
      <c r="A498" s="9"/>
      <c r="B498" s="9"/>
      <c r="C498" s="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 x14ac:dyDescent="0.2">
      <c r="A499" s="9"/>
      <c r="B499" s="9"/>
      <c r="C499" s="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 x14ac:dyDescent="0.2">
      <c r="A500" s="9"/>
      <c r="B500" s="9"/>
      <c r="C500" s="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 x14ac:dyDescent="0.2">
      <c r="A501" s="9"/>
      <c r="B501" s="9"/>
      <c r="C501" s="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 x14ac:dyDescent="0.2">
      <c r="A502" s="9"/>
      <c r="B502" s="9"/>
      <c r="C502" s="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 x14ac:dyDescent="0.2">
      <c r="A503" s="9"/>
      <c r="B503" s="9"/>
      <c r="C503" s="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 x14ac:dyDescent="0.2">
      <c r="A504" s="9"/>
      <c r="B504" s="9"/>
      <c r="C504" s="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 x14ac:dyDescent="0.2">
      <c r="A505" s="9"/>
      <c r="B505" s="9"/>
      <c r="C505" s="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 x14ac:dyDescent="0.2">
      <c r="A506" s="9"/>
      <c r="B506" s="9"/>
      <c r="C506" s="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 x14ac:dyDescent="0.2">
      <c r="A507" s="9"/>
      <c r="B507" s="9"/>
      <c r="C507" s="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 x14ac:dyDescent="0.2">
      <c r="A508" s="9"/>
      <c r="B508" s="9"/>
      <c r="C508" s="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 x14ac:dyDescent="0.2">
      <c r="A509" s="9"/>
      <c r="B509" s="9"/>
      <c r="C509" s="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 x14ac:dyDescent="0.2">
      <c r="A510" s="9"/>
      <c r="B510" s="9"/>
      <c r="C510" s="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 x14ac:dyDescent="0.2">
      <c r="A511" s="9"/>
      <c r="B511" s="9"/>
      <c r="C511" s="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 x14ac:dyDescent="0.2">
      <c r="A512" s="9"/>
      <c r="B512" s="9"/>
      <c r="C512" s="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 x14ac:dyDescent="0.2">
      <c r="A513" s="9"/>
      <c r="B513" s="9"/>
      <c r="C513" s="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 x14ac:dyDescent="0.2">
      <c r="A514" s="9"/>
      <c r="B514" s="9"/>
      <c r="C514" s="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 x14ac:dyDescent="0.2">
      <c r="A515" s="9"/>
      <c r="B515" s="9"/>
      <c r="C515" s="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 x14ac:dyDescent="0.2">
      <c r="A516" s="9"/>
      <c r="B516" s="9"/>
      <c r="C516" s="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 x14ac:dyDescent="0.2">
      <c r="A517" s="9"/>
      <c r="B517" s="9"/>
      <c r="C517" s="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 x14ac:dyDescent="0.2">
      <c r="A518" s="9"/>
      <c r="B518" s="9"/>
      <c r="C518" s="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 x14ac:dyDescent="0.2">
      <c r="A519" s="9"/>
      <c r="B519" s="9"/>
      <c r="C519" s="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 x14ac:dyDescent="0.2">
      <c r="A520" s="9"/>
      <c r="B520" s="9"/>
      <c r="C520" s="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 x14ac:dyDescent="0.2">
      <c r="A521" s="9"/>
      <c r="B521" s="9"/>
      <c r="C521" s="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 x14ac:dyDescent="0.2">
      <c r="A522" s="9"/>
      <c r="B522" s="9"/>
      <c r="C522" s="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 x14ac:dyDescent="0.2">
      <c r="A523" s="9"/>
      <c r="B523" s="9"/>
      <c r="C523" s="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 x14ac:dyDescent="0.2">
      <c r="A524" s="9"/>
      <c r="B524" s="9"/>
      <c r="C524" s="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 x14ac:dyDescent="0.2">
      <c r="A525" s="9"/>
      <c r="B525" s="9"/>
      <c r="C525" s="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 x14ac:dyDescent="0.2">
      <c r="A526" s="9"/>
      <c r="B526" s="9"/>
      <c r="C526" s="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 x14ac:dyDescent="0.2">
      <c r="A527" s="9"/>
      <c r="B527" s="9"/>
      <c r="C527" s="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 x14ac:dyDescent="0.2">
      <c r="A528" s="9"/>
      <c r="B528" s="9"/>
      <c r="C528" s="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 x14ac:dyDescent="0.2">
      <c r="A529" s="9"/>
      <c r="B529" s="9"/>
      <c r="C529" s="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 x14ac:dyDescent="0.2">
      <c r="A530" s="9"/>
      <c r="B530" s="9"/>
      <c r="C530" s="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 x14ac:dyDescent="0.2">
      <c r="A531" s="9"/>
      <c r="B531" s="9"/>
      <c r="C531" s="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 x14ac:dyDescent="0.2">
      <c r="A532" s="9"/>
      <c r="B532" s="9"/>
      <c r="C532" s="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 x14ac:dyDescent="0.2">
      <c r="A533" s="9"/>
      <c r="B533" s="9"/>
      <c r="C533" s="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 x14ac:dyDescent="0.2">
      <c r="A534" s="9"/>
      <c r="B534" s="9"/>
      <c r="C534" s="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 x14ac:dyDescent="0.2">
      <c r="A535" s="9"/>
      <c r="B535" s="9"/>
      <c r="C535" s="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 x14ac:dyDescent="0.2">
      <c r="A536" s="9"/>
      <c r="B536" s="9"/>
      <c r="C536" s="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 x14ac:dyDescent="0.2">
      <c r="A537" s="9"/>
      <c r="B537" s="9"/>
      <c r="C537" s="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 x14ac:dyDescent="0.2">
      <c r="A538" s="9"/>
      <c r="B538" s="9"/>
      <c r="C538" s="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 x14ac:dyDescent="0.2">
      <c r="A539" s="9"/>
      <c r="B539" s="9"/>
      <c r="C539" s="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 x14ac:dyDescent="0.2">
      <c r="A540" s="9"/>
      <c r="B540" s="9"/>
      <c r="C540" s="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 x14ac:dyDescent="0.2">
      <c r="A541" s="9"/>
      <c r="B541" s="9"/>
      <c r="C541" s="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 x14ac:dyDescent="0.2">
      <c r="A542" s="9"/>
      <c r="B542" s="9"/>
      <c r="C542" s="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 x14ac:dyDescent="0.2">
      <c r="A543" s="9"/>
      <c r="B543" s="9"/>
      <c r="C543" s="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 x14ac:dyDescent="0.2">
      <c r="A544" s="9"/>
      <c r="B544" s="9"/>
      <c r="C544" s="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 x14ac:dyDescent="0.2">
      <c r="A545" s="9"/>
      <c r="B545" s="9"/>
      <c r="C545" s="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 x14ac:dyDescent="0.2">
      <c r="A546" s="9"/>
      <c r="B546" s="9"/>
      <c r="C546" s="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 x14ac:dyDescent="0.2">
      <c r="A547" s="9"/>
      <c r="B547" s="9"/>
      <c r="C547" s="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 x14ac:dyDescent="0.2">
      <c r="A548" s="9"/>
      <c r="B548" s="9"/>
      <c r="C548" s="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 x14ac:dyDescent="0.2">
      <c r="A549" s="9"/>
      <c r="B549" s="9"/>
      <c r="C549" s="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 x14ac:dyDescent="0.2">
      <c r="A550" s="9"/>
      <c r="B550" s="9"/>
      <c r="C550" s="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 x14ac:dyDescent="0.2">
      <c r="A551" s="9"/>
      <c r="B551" s="9"/>
      <c r="C551" s="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 x14ac:dyDescent="0.2">
      <c r="A552" s="9"/>
      <c r="B552" s="9"/>
      <c r="C552" s="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 x14ac:dyDescent="0.2">
      <c r="A553" s="9"/>
      <c r="B553" s="9"/>
      <c r="C553" s="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 x14ac:dyDescent="0.2">
      <c r="A554" s="9"/>
      <c r="B554" s="9"/>
      <c r="C554" s="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 x14ac:dyDescent="0.2">
      <c r="A555" s="9"/>
      <c r="B555" s="9"/>
      <c r="C555" s="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 x14ac:dyDescent="0.2">
      <c r="A556" s="9"/>
      <c r="B556" s="9"/>
      <c r="C556" s="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 x14ac:dyDescent="0.2">
      <c r="A557" s="9"/>
      <c r="B557" s="9"/>
      <c r="C557" s="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 x14ac:dyDescent="0.2">
      <c r="A558" s="9"/>
      <c r="B558" s="9"/>
      <c r="C558" s="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 x14ac:dyDescent="0.2">
      <c r="A559" s="9"/>
      <c r="B559" s="9"/>
      <c r="C559" s="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 x14ac:dyDescent="0.2">
      <c r="A560" s="9"/>
      <c r="B560" s="9"/>
      <c r="C560" s="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 x14ac:dyDescent="0.2">
      <c r="A561" s="9"/>
      <c r="B561" s="9"/>
      <c r="C561" s="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 x14ac:dyDescent="0.2">
      <c r="A562" s="9"/>
      <c r="B562" s="9"/>
      <c r="C562" s="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 x14ac:dyDescent="0.2">
      <c r="A563" s="9"/>
      <c r="B563" s="9"/>
      <c r="C563" s="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 x14ac:dyDescent="0.2">
      <c r="A564" s="9"/>
      <c r="B564" s="9"/>
      <c r="C564" s="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 x14ac:dyDescent="0.2">
      <c r="A565" s="9"/>
      <c r="B565" s="9"/>
      <c r="C565" s="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 x14ac:dyDescent="0.2">
      <c r="A566" s="9"/>
      <c r="B566" s="9"/>
      <c r="C566" s="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 x14ac:dyDescent="0.2">
      <c r="A567" s="9"/>
      <c r="B567" s="9"/>
      <c r="C567" s="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 x14ac:dyDescent="0.2">
      <c r="A568" s="9"/>
      <c r="B568" s="9"/>
      <c r="C568" s="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 x14ac:dyDescent="0.2">
      <c r="A569" s="9"/>
      <c r="B569" s="9"/>
      <c r="C569" s="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 x14ac:dyDescent="0.2">
      <c r="A570" s="9"/>
      <c r="B570" s="9"/>
      <c r="C570" s="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 x14ac:dyDescent="0.2">
      <c r="A571" s="9"/>
      <c r="B571" s="9"/>
      <c r="C571" s="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 x14ac:dyDescent="0.2">
      <c r="A572" s="9"/>
      <c r="B572" s="9"/>
      <c r="C572" s="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 x14ac:dyDescent="0.2">
      <c r="A573" s="9"/>
      <c r="B573" s="9"/>
      <c r="C573" s="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 x14ac:dyDescent="0.2">
      <c r="A574" s="9"/>
      <c r="B574" s="9"/>
      <c r="C574" s="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 x14ac:dyDescent="0.2">
      <c r="A575" s="9"/>
      <c r="B575" s="9"/>
      <c r="C575" s="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 x14ac:dyDescent="0.2">
      <c r="A576" s="9"/>
      <c r="B576" s="9"/>
      <c r="C576" s="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 x14ac:dyDescent="0.2">
      <c r="A577" s="9"/>
      <c r="B577" s="9"/>
      <c r="C577" s="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 x14ac:dyDescent="0.2">
      <c r="A578" s="9"/>
      <c r="B578" s="9"/>
      <c r="C578" s="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 x14ac:dyDescent="0.2">
      <c r="A579" s="9"/>
      <c r="B579" s="9"/>
      <c r="C579" s="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 x14ac:dyDescent="0.2">
      <c r="A580" s="9"/>
      <c r="B580" s="9"/>
      <c r="C580" s="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 x14ac:dyDescent="0.2">
      <c r="A581" s="9"/>
      <c r="B581" s="9"/>
      <c r="C581" s="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 x14ac:dyDescent="0.2">
      <c r="A582" s="9"/>
      <c r="B582" s="9"/>
      <c r="C582" s="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 x14ac:dyDescent="0.2">
      <c r="A583" s="9"/>
      <c r="B583" s="9"/>
      <c r="C583" s="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 x14ac:dyDescent="0.2">
      <c r="A584" s="9"/>
      <c r="B584" s="9"/>
      <c r="C584" s="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 x14ac:dyDescent="0.2">
      <c r="A585" s="9"/>
      <c r="B585" s="9"/>
      <c r="C585" s="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 x14ac:dyDescent="0.2">
      <c r="A586" s="9"/>
      <c r="B586" s="9"/>
      <c r="C586" s="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 x14ac:dyDescent="0.2">
      <c r="A587" s="9"/>
      <c r="B587" s="9"/>
      <c r="C587" s="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 x14ac:dyDescent="0.2">
      <c r="A588" s="9"/>
      <c r="B588" s="9"/>
      <c r="C588" s="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 x14ac:dyDescent="0.2">
      <c r="A589" s="9"/>
      <c r="B589" s="9"/>
      <c r="C589" s="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 x14ac:dyDescent="0.2">
      <c r="A590" s="9"/>
      <c r="B590" s="9"/>
      <c r="C590" s="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 x14ac:dyDescent="0.2">
      <c r="A591" s="9"/>
      <c r="B591" s="9"/>
      <c r="C591" s="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 x14ac:dyDescent="0.2">
      <c r="A592" s="9"/>
      <c r="B592" s="9"/>
      <c r="C592" s="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 x14ac:dyDescent="0.2">
      <c r="A593" s="9"/>
      <c r="B593" s="9"/>
      <c r="C593" s="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 x14ac:dyDescent="0.2">
      <c r="A594" s="9"/>
      <c r="B594" s="9"/>
      <c r="C594" s="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 x14ac:dyDescent="0.2">
      <c r="A595" s="9"/>
      <c r="B595" s="9"/>
      <c r="C595" s="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 x14ac:dyDescent="0.2">
      <c r="A596" s="9"/>
      <c r="B596" s="9"/>
      <c r="C596" s="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 x14ac:dyDescent="0.2">
      <c r="A597" s="9"/>
      <c r="B597" s="9"/>
      <c r="C597" s="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 x14ac:dyDescent="0.2">
      <c r="A598" s="9"/>
      <c r="B598" s="9"/>
      <c r="C598" s="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 x14ac:dyDescent="0.2">
      <c r="A599" s="9"/>
      <c r="B599" s="9"/>
      <c r="C599" s="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 x14ac:dyDescent="0.2">
      <c r="A600" s="9"/>
      <c r="B600" s="9"/>
      <c r="C600" s="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 x14ac:dyDescent="0.2">
      <c r="A601" s="9"/>
      <c r="B601" s="9"/>
      <c r="C601" s="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 x14ac:dyDescent="0.2">
      <c r="A602" s="9"/>
      <c r="B602" s="9"/>
      <c r="C602" s="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 x14ac:dyDescent="0.2">
      <c r="A603" s="9"/>
      <c r="B603" s="9"/>
      <c r="C603" s="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 x14ac:dyDescent="0.2">
      <c r="A604" s="9"/>
      <c r="B604" s="9"/>
      <c r="C604" s="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 x14ac:dyDescent="0.2">
      <c r="A605" s="9"/>
      <c r="B605" s="9"/>
      <c r="C605" s="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 x14ac:dyDescent="0.2">
      <c r="A606" s="9"/>
      <c r="B606" s="9"/>
      <c r="C606" s="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 x14ac:dyDescent="0.2">
      <c r="A607" s="9"/>
      <c r="B607" s="9"/>
      <c r="C607" s="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 x14ac:dyDescent="0.2">
      <c r="A608" s="9"/>
      <c r="B608" s="9"/>
      <c r="C608" s="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 x14ac:dyDescent="0.2">
      <c r="A609" s="9"/>
      <c r="B609" s="9"/>
      <c r="C609" s="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 x14ac:dyDescent="0.2">
      <c r="A610" s="9"/>
      <c r="B610" s="9"/>
      <c r="C610" s="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 x14ac:dyDescent="0.2">
      <c r="A611" s="9"/>
      <c r="B611" s="9"/>
      <c r="C611" s="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 x14ac:dyDescent="0.2">
      <c r="A612" s="9"/>
      <c r="B612" s="9"/>
      <c r="C612" s="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 x14ac:dyDescent="0.2">
      <c r="A613" s="9"/>
      <c r="B613" s="9"/>
      <c r="C613" s="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 x14ac:dyDescent="0.2">
      <c r="A614" s="9"/>
      <c r="B614" s="9"/>
      <c r="C614" s="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 x14ac:dyDescent="0.2">
      <c r="A615" s="9"/>
      <c r="B615" s="9"/>
      <c r="C615" s="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 x14ac:dyDescent="0.2">
      <c r="A616" s="9"/>
      <c r="B616" s="9"/>
      <c r="C616" s="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 x14ac:dyDescent="0.2">
      <c r="A617" s="9"/>
      <c r="B617" s="9"/>
      <c r="C617" s="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 x14ac:dyDescent="0.2">
      <c r="A618" s="9"/>
      <c r="B618" s="9"/>
      <c r="C618" s="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 x14ac:dyDescent="0.2">
      <c r="A619" s="9"/>
      <c r="B619" s="9"/>
      <c r="C619" s="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 x14ac:dyDescent="0.2">
      <c r="A620" s="9"/>
      <c r="B620" s="9"/>
      <c r="C620" s="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 x14ac:dyDescent="0.2">
      <c r="A621" s="9"/>
      <c r="B621" s="9"/>
      <c r="C621" s="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 x14ac:dyDescent="0.2">
      <c r="A622" s="9"/>
      <c r="B622" s="9"/>
      <c r="C622" s="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 x14ac:dyDescent="0.2">
      <c r="A623" s="9"/>
      <c r="B623" s="9"/>
      <c r="C623" s="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 x14ac:dyDescent="0.2">
      <c r="A624" s="9"/>
      <c r="B624" s="9"/>
      <c r="C624" s="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 x14ac:dyDescent="0.2">
      <c r="A625" s="9"/>
      <c r="B625" s="9"/>
      <c r="C625" s="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 x14ac:dyDescent="0.2">
      <c r="A626" s="9"/>
      <c r="B626" s="9"/>
      <c r="C626" s="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 x14ac:dyDescent="0.2">
      <c r="A627" s="9"/>
      <c r="B627" s="9"/>
      <c r="C627" s="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 x14ac:dyDescent="0.2">
      <c r="A628" s="9"/>
      <c r="B628" s="9"/>
      <c r="C628" s="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 x14ac:dyDescent="0.2">
      <c r="A629" s="9"/>
      <c r="B629" s="9"/>
      <c r="C629" s="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 x14ac:dyDescent="0.2">
      <c r="A630" s="9"/>
      <c r="B630" s="9"/>
      <c r="C630" s="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 x14ac:dyDescent="0.2">
      <c r="A631" s="9"/>
      <c r="B631" s="9"/>
      <c r="C631" s="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 x14ac:dyDescent="0.2">
      <c r="A632" s="9"/>
      <c r="B632" s="9"/>
      <c r="C632" s="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 x14ac:dyDescent="0.2">
      <c r="A633" s="9"/>
      <c r="B633" s="9"/>
      <c r="C633" s="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 x14ac:dyDescent="0.2">
      <c r="A634" s="9"/>
      <c r="B634" s="9"/>
      <c r="C634" s="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 x14ac:dyDescent="0.2">
      <c r="A635" s="9"/>
      <c r="B635" s="9"/>
      <c r="C635" s="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 x14ac:dyDescent="0.2">
      <c r="A636" s="9"/>
      <c r="B636" s="9"/>
      <c r="C636" s="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 x14ac:dyDescent="0.2">
      <c r="A637" s="9"/>
      <c r="B637" s="9"/>
      <c r="C637" s="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 x14ac:dyDescent="0.2">
      <c r="A638" s="9"/>
      <c r="B638" s="9"/>
      <c r="C638" s="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 x14ac:dyDescent="0.2">
      <c r="A639" s="9"/>
      <c r="B639" s="9"/>
      <c r="C639" s="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 x14ac:dyDescent="0.2">
      <c r="A640" s="9"/>
      <c r="B640" s="9"/>
      <c r="C640" s="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 x14ac:dyDescent="0.2">
      <c r="A641" s="9"/>
      <c r="B641" s="9"/>
      <c r="C641" s="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 x14ac:dyDescent="0.2">
      <c r="A642" s="9"/>
      <c r="B642" s="9"/>
      <c r="C642" s="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 x14ac:dyDescent="0.2">
      <c r="A643" s="9"/>
      <c r="B643" s="9"/>
      <c r="C643" s="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 x14ac:dyDescent="0.2">
      <c r="A644" s="9"/>
      <c r="B644" s="9"/>
      <c r="C644" s="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 x14ac:dyDescent="0.2">
      <c r="A645" s="9"/>
      <c r="B645" s="9"/>
      <c r="C645" s="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 x14ac:dyDescent="0.2">
      <c r="A646" s="9"/>
      <c r="B646" s="9"/>
      <c r="C646" s="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 x14ac:dyDescent="0.2">
      <c r="A647" s="9"/>
      <c r="B647" s="9"/>
      <c r="C647" s="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 x14ac:dyDescent="0.2">
      <c r="A648" s="9"/>
      <c r="B648" s="9"/>
      <c r="C648" s="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 x14ac:dyDescent="0.2">
      <c r="A649" s="9"/>
      <c r="B649" s="9"/>
      <c r="C649" s="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 x14ac:dyDescent="0.2">
      <c r="A650" s="9"/>
      <c r="B650" s="9"/>
      <c r="C650" s="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 x14ac:dyDescent="0.2">
      <c r="A651" s="9"/>
      <c r="B651" s="9"/>
      <c r="C651" s="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 x14ac:dyDescent="0.2">
      <c r="A652" s="9"/>
      <c r="B652" s="9"/>
      <c r="C652" s="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 x14ac:dyDescent="0.2">
      <c r="A653" s="9"/>
      <c r="B653" s="9"/>
      <c r="C653" s="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 x14ac:dyDescent="0.2">
      <c r="A654" s="9"/>
      <c r="B654" s="9"/>
      <c r="C654" s="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 x14ac:dyDescent="0.2">
      <c r="A655" s="9"/>
      <c r="B655" s="9"/>
      <c r="C655" s="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 x14ac:dyDescent="0.2">
      <c r="A656" s="9"/>
      <c r="B656" s="9"/>
      <c r="C656" s="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 x14ac:dyDescent="0.2">
      <c r="A657" s="9"/>
      <c r="B657" s="9"/>
      <c r="C657" s="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 x14ac:dyDescent="0.2">
      <c r="A658" s="9"/>
      <c r="B658" s="9"/>
      <c r="C658" s="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 x14ac:dyDescent="0.2">
      <c r="A659" s="9"/>
      <c r="B659" s="9"/>
      <c r="C659" s="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x14ac:dyDescent="0.2">
      <c r="A660" s="9"/>
      <c r="B660" s="9"/>
      <c r="C660" s="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 x14ac:dyDescent="0.2">
      <c r="A661" s="9"/>
      <c r="B661" s="9"/>
      <c r="C661" s="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 x14ac:dyDescent="0.2">
      <c r="A662" s="9"/>
      <c r="B662" s="9"/>
      <c r="C662" s="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 x14ac:dyDescent="0.2">
      <c r="A663" s="9"/>
      <c r="B663" s="9"/>
      <c r="C663" s="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 x14ac:dyDescent="0.2">
      <c r="A664" s="9"/>
      <c r="B664" s="9"/>
      <c r="C664" s="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 x14ac:dyDescent="0.2">
      <c r="A665" s="9"/>
      <c r="B665" s="9"/>
      <c r="C665" s="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 x14ac:dyDescent="0.2">
      <c r="A666" s="9"/>
      <c r="B666" s="9"/>
      <c r="C666" s="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 x14ac:dyDescent="0.2">
      <c r="A667" s="9"/>
      <c r="B667" s="9"/>
      <c r="C667" s="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 x14ac:dyDescent="0.2">
      <c r="A668" s="9"/>
      <c r="B668" s="9"/>
      <c r="C668" s="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 x14ac:dyDescent="0.2">
      <c r="A669" s="9"/>
      <c r="B669" s="9"/>
      <c r="C669" s="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 x14ac:dyDescent="0.2">
      <c r="A670" s="9"/>
      <c r="B670" s="9"/>
      <c r="C670" s="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 x14ac:dyDescent="0.2">
      <c r="A671" s="9"/>
      <c r="B671" s="9"/>
      <c r="C671" s="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 x14ac:dyDescent="0.2">
      <c r="A672" s="9"/>
      <c r="B672" s="9"/>
      <c r="C672" s="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 x14ac:dyDescent="0.2">
      <c r="A673" s="9"/>
      <c r="B673" s="9"/>
      <c r="C673" s="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 x14ac:dyDescent="0.2">
      <c r="A674" s="9"/>
      <c r="B674" s="9"/>
      <c r="C674" s="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 x14ac:dyDescent="0.2">
      <c r="A675" s="9"/>
      <c r="B675" s="9"/>
      <c r="C675" s="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 x14ac:dyDescent="0.2">
      <c r="A676" s="9"/>
      <c r="B676" s="9"/>
      <c r="C676" s="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 x14ac:dyDescent="0.2">
      <c r="A677" s="9"/>
      <c r="B677" s="9"/>
      <c r="C677" s="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 x14ac:dyDescent="0.2">
      <c r="A678" s="9"/>
      <c r="B678" s="9"/>
      <c r="C678" s="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 x14ac:dyDescent="0.2">
      <c r="A679" s="9"/>
      <c r="B679" s="9"/>
      <c r="C679" s="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 x14ac:dyDescent="0.2">
      <c r="A680" s="9"/>
      <c r="B680" s="9"/>
      <c r="C680" s="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 x14ac:dyDescent="0.2">
      <c r="A681" s="9"/>
      <c r="B681" s="9"/>
      <c r="C681" s="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 x14ac:dyDescent="0.2">
      <c r="A682" s="9"/>
      <c r="B682" s="9"/>
      <c r="C682" s="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 x14ac:dyDescent="0.2">
      <c r="A683" s="9"/>
      <c r="B683" s="9"/>
      <c r="C683" s="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 x14ac:dyDescent="0.2">
      <c r="A684" s="9"/>
      <c r="B684" s="9"/>
      <c r="C684" s="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 x14ac:dyDescent="0.2">
      <c r="A685" s="9"/>
      <c r="B685" s="9"/>
      <c r="C685" s="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 x14ac:dyDescent="0.2">
      <c r="A686" s="9"/>
      <c r="B686" s="9"/>
      <c r="C686" s="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 x14ac:dyDescent="0.2">
      <c r="A687" s="9"/>
      <c r="B687" s="9"/>
      <c r="C687" s="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 x14ac:dyDescent="0.2">
      <c r="A688" s="9"/>
      <c r="B688" s="9"/>
      <c r="C688" s="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 x14ac:dyDescent="0.2">
      <c r="A689" s="9"/>
      <c r="B689" s="9"/>
      <c r="C689" s="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 x14ac:dyDescent="0.2">
      <c r="A690" s="9"/>
      <c r="B690" s="9"/>
      <c r="C690" s="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 x14ac:dyDescent="0.2">
      <c r="A691" s="9"/>
      <c r="B691" s="9"/>
      <c r="C691" s="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 x14ac:dyDescent="0.2">
      <c r="A692" s="9"/>
      <c r="B692" s="9"/>
      <c r="C692" s="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 x14ac:dyDescent="0.2">
      <c r="A693" s="9"/>
      <c r="B693" s="9"/>
      <c r="C693" s="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 x14ac:dyDescent="0.2">
      <c r="A694" s="9"/>
      <c r="B694" s="9"/>
      <c r="C694" s="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 x14ac:dyDescent="0.2">
      <c r="A695" s="9"/>
      <c r="B695" s="9"/>
      <c r="C695" s="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 x14ac:dyDescent="0.2">
      <c r="A696" s="9"/>
      <c r="B696" s="9"/>
      <c r="C696" s="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 x14ac:dyDescent="0.2">
      <c r="A697" s="9"/>
      <c r="B697" s="9"/>
      <c r="C697" s="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 x14ac:dyDescent="0.2">
      <c r="A698" s="9"/>
      <c r="B698" s="9"/>
      <c r="C698" s="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 x14ac:dyDescent="0.2">
      <c r="A699" s="9"/>
      <c r="B699" s="9"/>
      <c r="C699" s="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 x14ac:dyDescent="0.2">
      <c r="A700" s="9"/>
      <c r="B700" s="9"/>
      <c r="C700" s="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 x14ac:dyDescent="0.2">
      <c r="A701" s="9"/>
      <c r="B701" s="9"/>
      <c r="C701" s="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 x14ac:dyDescent="0.2">
      <c r="A702" s="9"/>
      <c r="B702" s="9"/>
      <c r="C702" s="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 x14ac:dyDescent="0.2">
      <c r="A703" s="9"/>
      <c r="B703" s="9"/>
      <c r="C703" s="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 x14ac:dyDescent="0.2">
      <c r="A704" s="9"/>
      <c r="B704" s="9"/>
      <c r="C704" s="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 x14ac:dyDescent="0.2">
      <c r="A705" s="9"/>
      <c r="B705" s="9"/>
      <c r="C705" s="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 x14ac:dyDescent="0.2">
      <c r="A706" s="9"/>
      <c r="B706" s="9"/>
      <c r="C706" s="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 x14ac:dyDescent="0.2">
      <c r="A707" s="9"/>
      <c r="B707" s="9"/>
      <c r="C707" s="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 x14ac:dyDescent="0.2">
      <c r="A708" s="9"/>
      <c r="B708" s="9"/>
      <c r="C708" s="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 x14ac:dyDescent="0.2">
      <c r="A709" s="9"/>
      <c r="B709" s="9"/>
      <c r="C709" s="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 x14ac:dyDescent="0.2">
      <c r="A710" s="9"/>
      <c r="B710" s="9"/>
      <c r="C710" s="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 x14ac:dyDescent="0.2">
      <c r="A711" s="9"/>
      <c r="B711" s="9"/>
      <c r="C711" s="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 x14ac:dyDescent="0.2">
      <c r="A712" s="9"/>
      <c r="B712" s="9"/>
      <c r="C712" s="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 x14ac:dyDescent="0.2">
      <c r="A713" s="9"/>
      <c r="B713" s="9"/>
      <c r="C713" s="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 x14ac:dyDescent="0.2">
      <c r="A714" s="9"/>
      <c r="B714" s="9"/>
      <c r="C714" s="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 x14ac:dyDescent="0.2">
      <c r="A715" s="9"/>
      <c r="B715" s="9"/>
      <c r="C715" s="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 x14ac:dyDescent="0.2">
      <c r="A716" s="9"/>
      <c r="B716" s="9"/>
      <c r="C716" s="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 x14ac:dyDescent="0.2">
      <c r="A717" s="9"/>
      <c r="B717" s="9"/>
      <c r="C717" s="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 x14ac:dyDescent="0.2">
      <c r="A718" s="9"/>
      <c r="B718" s="9"/>
      <c r="C718" s="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 x14ac:dyDescent="0.2">
      <c r="A719" s="9"/>
      <c r="B719" s="9"/>
      <c r="C719" s="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 x14ac:dyDescent="0.2">
      <c r="A720" s="9"/>
      <c r="B720" s="9"/>
      <c r="C720" s="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 x14ac:dyDescent="0.2">
      <c r="A721" s="9"/>
      <c r="B721" s="9"/>
      <c r="C721" s="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 x14ac:dyDescent="0.2">
      <c r="A722" s="9"/>
      <c r="B722" s="9"/>
      <c r="C722" s="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 x14ac:dyDescent="0.2">
      <c r="A723" s="9"/>
      <c r="B723" s="9"/>
      <c r="C723" s="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 x14ac:dyDescent="0.2">
      <c r="A724" s="9"/>
      <c r="B724" s="9"/>
      <c r="C724" s="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 x14ac:dyDescent="0.2">
      <c r="A725" s="9"/>
      <c r="B725" s="9"/>
      <c r="C725" s="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 x14ac:dyDescent="0.2">
      <c r="A726" s="9"/>
      <c r="B726" s="9"/>
      <c r="C726" s="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 x14ac:dyDescent="0.2">
      <c r="A727" s="9"/>
      <c r="B727" s="9"/>
      <c r="C727" s="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 x14ac:dyDescent="0.2">
      <c r="A728" s="9"/>
      <c r="B728" s="9"/>
      <c r="C728" s="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 x14ac:dyDescent="0.2">
      <c r="A729" s="9"/>
      <c r="B729" s="9"/>
      <c r="C729" s="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 x14ac:dyDescent="0.2">
      <c r="A730" s="9"/>
      <c r="B730" s="9"/>
      <c r="C730" s="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 x14ac:dyDescent="0.2">
      <c r="A731" s="9"/>
      <c r="B731" s="9"/>
      <c r="C731" s="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 x14ac:dyDescent="0.2">
      <c r="A732" s="9"/>
      <c r="B732" s="9"/>
      <c r="C732" s="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 x14ac:dyDescent="0.2">
      <c r="A733" s="9"/>
      <c r="B733" s="9"/>
      <c r="C733" s="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 x14ac:dyDescent="0.2">
      <c r="A734" s="9"/>
      <c r="B734" s="9"/>
      <c r="C734" s="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 x14ac:dyDescent="0.2">
      <c r="A735" s="9"/>
      <c r="B735" s="9"/>
      <c r="C735" s="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 x14ac:dyDescent="0.2">
      <c r="A736" s="9"/>
      <c r="B736" s="9"/>
      <c r="C736" s="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 x14ac:dyDescent="0.2">
      <c r="A737" s="9"/>
      <c r="B737" s="9"/>
      <c r="C737" s="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 x14ac:dyDescent="0.2">
      <c r="A738" s="9"/>
      <c r="B738" s="9"/>
      <c r="C738" s="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 x14ac:dyDescent="0.2">
      <c r="A739" s="9"/>
      <c r="B739" s="9"/>
      <c r="C739" s="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 x14ac:dyDescent="0.2">
      <c r="A740" s="9"/>
      <c r="B740" s="9"/>
      <c r="C740" s="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 x14ac:dyDescent="0.2">
      <c r="A741" s="9"/>
      <c r="B741" s="9"/>
      <c r="C741" s="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 x14ac:dyDescent="0.2">
      <c r="A742" s="9"/>
      <c r="B742" s="9"/>
      <c r="C742" s="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 x14ac:dyDescent="0.2">
      <c r="A743" s="9"/>
      <c r="B743" s="9"/>
      <c r="C743" s="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 x14ac:dyDescent="0.2">
      <c r="A744" s="9"/>
      <c r="B744" s="9"/>
      <c r="C744" s="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 x14ac:dyDescent="0.2">
      <c r="A745" s="9"/>
      <c r="B745" s="9"/>
      <c r="C745" s="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 x14ac:dyDescent="0.2">
      <c r="A746" s="9"/>
      <c r="B746" s="9"/>
      <c r="C746" s="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 x14ac:dyDescent="0.2">
      <c r="A747" s="9"/>
      <c r="B747" s="9"/>
      <c r="C747" s="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 x14ac:dyDescent="0.2">
      <c r="A748" s="9"/>
      <c r="B748" s="9"/>
      <c r="C748" s="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 x14ac:dyDescent="0.2">
      <c r="A749" s="9"/>
      <c r="B749" s="9"/>
      <c r="C749" s="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 x14ac:dyDescent="0.2">
      <c r="A750" s="9"/>
      <c r="B750" s="9"/>
      <c r="C750" s="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 x14ac:dyDescent="0.2">
      <c r="A751" s="9"/>
      <c r="B751" s="9"/>
      <c r="C751" s="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 x14ac:dyDescent="0.2">
      <c r="A752" s="9"/>
      <c r="B752" s="9"/>
      <c r="C752" s="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 x14ac:dyDescent="0.2">
      <c r="A753" s="9"/>
      <c r="B753" s="9"/>
      <c r="C753" s="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 x14ac:dyDescent="0.2">
      <c r="A754" s="9"/>
      <c r="B754" s="9"/>
      <c r="C754" s="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 x14ac:dyDescent="0.2">
      <c r="A755" s="9"/>
      <c r="B755" s="9"/>
      <c r="C755" s="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 x14ac:dyDescent="0.2">
      <c r="A756" s="9"/>
      <c r="B756" s="9"/>
      <c r="C756" s="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 x14ac:dyDescent="0.2">
      <c r="A757" s="9"/>
      <c r="B757" s="9"/>
      <c r="C757" s="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 x14ac:dyDescent="0.2">
      <c r="A758" s="9"/>
      <c r="B758" s="9"/>
      <c r="C758" s="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 x14ac:dyDescent="0.2">
      <c r="A759" s="9"/>
      <c r="B759" s="9"/>
      <c r="C759" s="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 x14ac:dyDescent="0.2">
      <c r="A760" s="9"/>
      <c r="B760" s="9"/>
      <c r="C760" s="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 x14ac:dyDescent="0.2">
      <c r="A761" s="9"/>
      <c r="B761" s="9"/>
      <c r="C761" s="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 x14ac:dyDescent="0.2">
      <c r="A762" s="9"/>
      <c r="B762" s="9"/>
      <c r="C762" s="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 x14ac:dyDescent="0.2">
      <c r="A763" s="9"/>
      <c r="B763" s="9"/>
      <c r="C763" s="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 x14ac:dyDescent="0.2">
      <c r="A764" s="9"/>
      <c r="B764" s="9"/>
      <c r="C764" s="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 x14ac:dyDescent="0.2">
      <c r="A765" s="9"/>
      <c r="B765" s="9"/>
      <c r="C765" s="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 x14ac:dyDescent="0.2">
      <c r="A766" s="9"/>
      <c r="B766" s="9"/>
      <c r="C766" s="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 x14ac:dyDescent="0.2">
      <c r="A767" s="9"/>
      <c r="B767" s="9"/>
      <c r="C767" s="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 x14ac:dyDescent="0.2">
      <c r="A768" s="9"/>
      <c r="B768" s="9"/>
      <c r="C768" s="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 x14ac:dyDescent="0.2">
      <c r="A769" s="9"/>
      <c r="B769" s="9"/>
      <c r="C769" s="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 x14ac:dyDescent="0.2">
      <c r="A770" s="9"/>
      <c r="B770" s="9"/>
      <c r="C770" s="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 x14ac:dyDescent="0.2">
      <c r="A771" s="9"/>
      <c r="B771" s="9"/>
      <c r="C771" s="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 x14ac:dyDescent="0.2">
      <c r="A772" s="9"/>
      <c r="B772" s="9"/>
      <c r="C772" s="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 x14ac:dyDescent="0.2">
      <c r="A773" s="9"/>
      <c r="B773" s="9"/>
      <c r="C773" s="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 x14ac:dyDescent="0.2">
      <c r="A774" s="9"/>
      <c r="B774" s="9"/>
      <c r="C774" s="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 x14ac:dyDescent="0.2">
      <c r="A775" s="9"/>
      <c r="B775" s="9"/>
      <c r="C775" s="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 x14ac:dyDescent="0.2">
      <c r="A776" s="9"/>
      <c r="B776" s="9"/>
      <c r="C776" s="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 x14ac:dyDescent="0.2">
      <c r="A777" s="9"/>
      <c r="B777" s="9"/>
      <c r="C777" s="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 x14ac:dyDescent="0.2">
      <c r="A778" s="9"/>
      <c r="B778" s="9"/>
      <c r="C778" s="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 x14ac:dyDescent="0.2">
      <c r="A779" s="9"/>
      <c r="B779" s="9"/>
      <c r="C779" s="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 x14ac:dyDescent="0.2">
      <c r="A780" s="9"/>
      <c r="B780" s="9"/>
      <c r="C780" s="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 x14ac:dyDescent="0.2">
      <c r="A781" s="9"/>
      <c r="B781" s="9"/>
      <c r="C781" s="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 x14ac:dyDescent="0.2">
      <c r="A782" s="9"/>
      <c r="B782" s="9"/>
      <c r="C782" s="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 x14ac:dyDescent="0.2">
      <c r="A783" s="9"/>
      <c r="B783" s="9"/>
      <c r="C783" s="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 x14ac:dyDescent="0.2">
      <c r="A784" s="9"/>
      <c r="B784" s="9"/>
      <c r="C784" s="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 x14ac:dyDescent="0.2">
      <c r="A785" s="9"/>
      <c r="B785" s="9"/>
      <c r="C785" s="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 x14ac:dyDescent="0.2">
      <c r="A786" s="9"/>
      <c r="B786" s="9"/>
      <c r="C786" s="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 x14ac:dyDescent="0.2">
      <c r="A787" s="9"/>
      <c r="B787" s="9"/>
      <c r="C787" s="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 x14ac:dyDescent="0.2">
      <c r="A788" s="9"/>
      <c r="B788" s="9"/>
      <c r="C788" s="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 x14ac:dyDescent="0.2">
      <c r="A789" s="9"/>
      <c r="B789" s="9"/>
      <c r="C789" s="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 x14ac:dyDescent="0.2">
      <c r="A790" s="9"/>
      <c r="B790" s="9"/>
      <c r="C790" s="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 x14ac:dyDescent="0.2">
      <c r="A791" s="9"/>
      <c r="B791" s="9"/>
      <c r="C791" s="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 x14ac:dyDescent="0.2">
      <c r="A792" s="9"/>
      <c r="B792" s="9"/>
      <c r="C792" s="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 x14ac:dyDescent="0.2">
      <c r="A793" s="9"/>
      <c r="B793" s="9"/>
      <c r="C793" s="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 x14ac:dyDescent="0.2">
      <c r="A794" s="9"/>
      <c r="B794" s="9"/>
      <c r="C794" s="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 x14ac:dyDescent="0.2">
      <c r="A795" s="9"/>
      <c r="B795" s="9"/>
      <c r="C795" s="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 x14ac:dyDescent="0.2">
      <c r="A796" s="9"/>
      <c r="B796" s="9"/>
      <c r="C796" s="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 x14ac:dyDescent="0.2">
      <c r="A797" s="9"/>
      <c r="B797" s="9"/>
      <c r="C797" s="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 x14ac:dyDescent="0.2">
      <c r="A798" s="9"/>
      <c r="B798" s="9"/>
      <c r="C798" s="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 x14ac:dyDescent="0.2">
      <c r="A799" s="9"/>
      <c r="B799" s="9"/>
      <c r="C799" s="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 x14ac:dyDescent="0.2">
      <c r="A800" s="9"/>
      <c r="B800" s="9"/>
      <c r="C800" s="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 x14ac:dyDescent="0.2">
      <c r="A801" s="9"/>
      <c r="B801" s="9"/>
      <c r="C801" s="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 x14ac:dyDescent="0.2">
      <c r="A802" s="9"/>
      <c r="B802" s="9"/>
      <c r="C802" s="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 x14ac:dyDescent="0.2">
      <c r="A803" s="9"/>
      <c r="B803" s="9"/>
      <c r="C803" s="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 x14ac:dyDescent="0.2">
      <c r="A804" s="9"/>
      <c r="B804" s="9"/>
      <c r="C804" s="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 x14ac:dyDescent="0.2">
      <c r="A805" s="9"/>
      <c r="B805" s="9"/>
      <c r="C805" s="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 x14ac:dyDescent="0.2">
      <c r="A806" s="9"/>
      <c r="B806" s="9"/>
      <c r="C806" s="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 x14ac:dyDescent="0.2">
      <c r="A807" s="9"/>
      <c r="B807" s="9"/>
      <c r="C807" s="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 x14ac:dyDescent="0.2">
      <c r="A808" s="9"/>
      <c r="B808" s="9"/>
      <c r="C808" s="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 x14ac:dyDescent="0.2">
      <c r="A809" s="9"/>
      <c r="B809" s="9"/>
      <c r="C809" s="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 x14ac:dyDescent="0.2">
      <c r="A810" s="9"/>
      <c r="B810" s="9"/>
      <c r="C810" s="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 x14ac:dyDescent="0.2">
      <c r="A811" s="9"/>
      <c r="B811" s="9"/>
      <c r="C811" s="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 x14ac:dyDescent="0.2">
      <c r="A812" s="9"/>
      <c r="B812" s="9"/>
      <c r="C812" s="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 x14ac:dyDescent="0.2">
      <c r="A813" s="9"/>
      <c r="B813" s="9"/>
      <c r="C813" s="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 x14ac:dyDescent="0.2">
      <c r="A814" s="9"/>
      <c r="B814" s="9"/>
      <c r="C814" s="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 x14ac:dyDescent="0.2">
      <c r="A815" s="9"/>
      <c r="B815" s="9"/>
      <c r="C815" s="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 x14ac:dyDescent="0.2">
      <c r="A816" s="9"/>
      <c r="B816" s="9"/>
      <c r="C816" s="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 x14ac:dyDescent="0.2">
      <c r="A817" s="9"/>
      <c r="B817" s="9"/>
      <c r="C817" s="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 x14ac:dyDescent="0.2">
      <c r="A818" s="9"/>
      <c r="B818" s="9"/>
      <c r="C818" s="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 x14ac:dyDescent="0.2">
      <c r="A819" s="9"/>
      <c r="B819" s="9"/>
      <c r="C819" s="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 x14ac:dyDescent="0.2">
      <c r="A820" s="9"/>
      <c r="B820" s="9"/>
      <c r="C820" s="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 x14ac:dyDescent="0.2">
      <c r="A821" s="9"/>
      <c r="B821" s="9"/>
      <c r="C821" s="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 x14ac:dyDescent="0.2">
      <c r="A822" s="9"/>
      <c r="B822" s="9"/>
      <c r="C822" s="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 x14ac:dyDescent="0.2">
      <c r="A823" s="9"/>
      <c r="B823" s="9"/>
      <c r="C823" s="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 x14ac:dyDescent="0.2">
      <c r="A824" s="9"/>
      <c r="B824" s="9"/>
      <c r="C824" s="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 x14ac:dyDescent="0.2">
      <c r="A825" s="9"/>
      <c r="B825" s="9"/>
      <c r="C825" s="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 x14ac:dyDescent="0.2">
      <c r="A826" s="9"/>
      <c r="B826" s="9"/>
      <c r="C826" s="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 x14ac:dyDescent="0.2">
      <c r="A827" s="9"/>
      <c r="B827" s="9"/>
      <c r="C827" s="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 x14ac:dyDescent="0.2">
      <c r="A828" s="9"/>
      <c r="B828" s="9"/>
      <c r="C828" s="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 x14ac:dyDescent="0.2">
      <c r="A829" s="9"/>
      <c r="B829" s="9"/>
      <c r="C829" s="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 x14ac:dyDescent="0.2">
      <c r="A830" s="9"/>
      <c r="B830" s="9"/>
      <c r="C830" s="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 x14ac:dyDescent="0.2">
      <c r="A831" s="9"/>
      <c r="B831" s="9"/>
      <c r="C831" s="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 x14ac:dyDescent="0.2">
      <c r="A832" s="9"/>
      <c r="B832" s="9"/>
      <c r="C832" s="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 x14ac:dyDescent="0.2">
      <c r="A833" s="9"/>
      <c r="B833" s="9"/>
      <c r="C833" s="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 x14ac:dyDescent="0.2">
      <c r="A834" s="9"/>
      <c r="B834" s="9"/>
      <c r="C834" s="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 x14ac:dyDescent="0.2">
      <c r="A835" s="9"/>
      <c r="B835" s="9"/>
      <c r="C835" s="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 x14ac:dyDescent="0.2">
      <c r="A836" s="9"/>
      <c r="B836" s="9"/>
      <c r="C836" s="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 x14ac:dyDescent="0.2">
      <c r="A837" s="9"/>
      <c r="B837" s="9"/>
      <c r="C837" s="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 x14ac:dyDescent="0.2">
      <c r="A838" s="9"/>
      <c r="B838" s="9"/>
      <c r="C838" s="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 x14ac:dyDescent="0.2">
      <c r="A839" s="9"/>
      <c r="B839" s="9"/>
      <c r="C839" s="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 x14ac:dyDescent="0.2">
      <c r="A840" s="9"/>
      <c r="B840" s="9"/>
      <c r="C840" s="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 x14ac:dyDescent="0.2">
      <c r="A841" s="9"/>
      <c r="B841" s="9"/>
      <c r="C841" s="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 x14ac:dyDescent="0.2">
      <c r="A842" s="9"/>
      <c r="B842" s="9"/>
      <c r="C842" s="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 x14ac:dyDescent="0.2">
      <c r="A843" s="9"/>
      <c r="B843" s="9"/>
      <c r="C843" s="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 x14ac:dyDescent="0.2">
      <c r="A844" s="9"/>
      <c r="B844" s="9"/>
      <c r="C844" s="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 x14ac:dyDescent="0.2">
      <c r="A845" s="9"/>
      <c r="B845" s="9"/>
      <c r="C845" s="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 x14ac:dyDescent="0.2">
      <c r="A846" s="9"/>
      <c r="B846" s="9"/>
      <c r="C846" s="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 x14ac:dyDescent="0.2">
      <c r="A847" s="9"/>
      <c r="B847" s="9"/>
      <c r="C847" s="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 x14ac:dyDescent="0.2">
      <c r="A848" s="9"/>
      <c r="B848" s="9"/>
      <c r="C848" s="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 x14ac:dyDescent="0.2">
      <c r="A849" s="9"/>
      <c r="B849" s="9"/>
      <c r="C849" s="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 x14ac:dyDescent="0.2">
      <c r="A850" s="9"/>
      <c r="B850" s="9"/>
      <c r="C850" s="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 x14ac:dyDescent="0.2">
      <c r="A851" s="9"/>
      <c r="B851" s="9"/>
      <c r="C851" s="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 x14ac:dyDescent="0.2">
      <c r="A852" s="9"/>
      <c r="B852" s="9"/>
      <c r="C852" s="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 x14ac:dyDescent="0.2">
      <c r="A853" s="9"/>
      <c r="B853" s="9"/>
      <c r="C853" s="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 x14ac:dyDescent="0.2">
      <c r="A854" s="9"/>
      <c r="B854" s="9"/>
      <c r="C854" s="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 x14ac:dyDescent="0.2">
      <c r="A855" s="9"/>
      <c r="B855" s="9"/>
      <c r="C855" s="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 x14ac:dyDescent="0.2">
      <c r="A856" s="9"/>
      <c r="B856" s="9"/>
      <c r="C856" s="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 x14ac:dyDescent="0.2">
      <c r="A857" s="9"/>
      <c r="B857" s="9"/>
      <c r="C857" s="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 x14ac:dyDescent="0.2">
      <c r="A858" s="9"/>
      <c r="B858" s="9"/>
      <c r="C858" s="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 x14ac:dyDescent="0.2">
      <c r="A859" s="9"/>
      <c r="B859" s="9"/>
      <c r="C859" s="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 x14ac:dyDescent="0.2">
      <c r="A860" s="9"/>
      <c r="B860" s="9"/>
      <c r="C860" s="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 x14ac:dyDescent="0.2">
      <c r="A861" s="9"/>
      <c r="B861" s="9"/>
      <c r="C861" s="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 x14ac:dyDescent="0.2">
      <c r="A862" s="9"/>
      <c r="B862" s="9"/>
      <c r="C862" s="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 x14ac:dyDescent="0.2">
      <c r="A863" s="9"/>
      <c r="B863" s="9"/>
      <c r="C863" s="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 x14ac:dyDescent="0.2">
      <c r="A864" s="9"/>
      <c r="B864" s="9"/>
      <c r="C864" s="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 x14ac:dyDescent="0.2">
      <c r="A865" s="9"/>
      <c r="B865" s="9"/>
      <c r="C865" s="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 x14ac:dyDescent="0.2">
      <c r="A866" s="9"/>
      <c r="B866" s="9"/>
      <c r="C866" s="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 x14ac:dyDescent="0.2">
      <c r="A867" s="9"/>
      <c r="B867" s="9"/>
      <c r="C867" s="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 x14ac:dyDescent="0.2">
      <c r="A868" s="9"/>
      <c r="B868" s="9"/>
      <c r="C868" s="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 x14ac:dyDescent="0.2">
      <c r="A869" s="9"/>
      <c r="B869" s="9"/>
      <c r="C869" s="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 x14ac:dyDescent="0.2">
      <c r="A870" s="9"/>
      <c r="B870" s="9"/>
      <c r="C870" s="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 x14ac:dyDescent="0.2">
      <c r="A871" s="9"/>
      <c r="B871" s="9"/>
      <c r="C871" s="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 x14ac:dyDescent="0.2">
      <c r="A872" s="9"/>
      <c r="B872" s="9"/>
      <c r="C872" s="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 x14ac:dyDescent="0.2">
      <c r="A873" s="9"/>
      <c r="B873" s="9"/>
      <c r="C873" s="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 x14ac:dyDescent="0.2">
      <c r="A874" s="9"/>
      <c r="B874" s="9"/>
      <c r="C874" s="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 x14ac:dyDescent="0.2">
      <c r="A875" s="9"/>
      <c r="B875" s="9"/>
      <c r="C875" s="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 x14ac:dyDescent="0.2">
      <c r="A876" s="9"/>
      <c r="B876" s="9"/>
      <c r="C876" s="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 x14ac:dyDescent="0.2">
      <c r="A877" s="9"/>
      <c r="B877" s="9"/>
      <c r="C877" s="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 x14ac:dyDescent="0.2">
      <c r="A878" s="9"/>
      <c r="B878" s="9"/>
      <c r="C878" s="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 x14ac:dyDescent="0.2">
      <c r="A879" s="9"/>
      <c r="B879" s="9"/>
      <c r="C879" s="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 x14ac:dyDescent="0.2">
      <c r="A880" s="9"/>
      <c r="B880" s="9"/>
      <c r="C880" s="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 x14ac:dyDescent="0.2">
      <c r="A881" s="9"/>
      <c r="B881" s="9"/>
      <c r="C881" s="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 x14ac:dyDescent="0.2">
      <c r="A882" s="9"/>
      <c r="B882" s="9"/>
      <c r="C882" s="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 x14ac:dyDescent="0.2">
      <c r="A883" s="9"/>
      <c r="B883" s="9"/>
      <c r="C883" s="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 x14ac:dyDescent="0.2">
      <c r="A884" s="9"/>
      <c r="B884" s="9"/>
      <c r="C884" s="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 x14ac:dyDescent="0.2">
      <c r="A885" s="9"/>
      <c r="B885" s="9"/>
      <c r="C885" s="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 x14ac:dyDescent="0.2">
      <c r="A886" s="9"/>
      <c r="B886" s="9"/>
      <c r="C886" s="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 x14ac:dyDescent="0.2">
      <c r="A887" s="9"/>
      <c r="B887" s="9"/>
      <c r="C887" s="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 x14ac:dyDescent="0.2">
      <c r="A888" s="9"/>
      <c r="B888" s="9"/>
      <c r="C888" s="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 x14ac:dyDescent="0.2">
      <c r="A889" s="9"/>
      <c r="B889" s="9"/>
      <c r="C889" s="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 x14ac:dyDescent="0.2">
      <c r="A890" s="9"/>
      <c r="B890" s="9"/>
      <c r="C890" s="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 x14ac:dyDescent="0.2">
      <c r="A891" s="9"/>
      <c r="B891" s="9"/>
      <c r="C891" s="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 x14ac:dyDescent="0.2">
      <c r="A892" s="9"/>
      <c r="B892" s="9"/>
      <c r="C892" s="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 x14ac:dyDescent="0.2">
      <c r="A893" s="9"/>
      <c r="B893" s="9"/>
      <c r="C893" s="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 x14ac:dyDescent="0.2">
      <c r="A894" s="9"/>
      <c r="B894" s="9"/>
      <c r="C894" s="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 x14ac:dyDescent="0.2">
      <c r="A895" s="9"/>
      <c r="B895" s="9"/>
      <c r="C895" s="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 x14ac:dyDescent="0.2">
      <c r="A896" s="9"/>
      <c r="B896" s="9"/>
      <c r="C896" s="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 x14ac:dyDescent="0.2">
      <c r="A897" s="9"/>
      <c r="B897" s="9"/>
      <c r="C897" s="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 x14ac:dyDescent="0.2">
      <c r="A898" s="9"/>
      <c r="B898" s="9"/>
      <c r="C898" s="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 x14ac:dyDescent="0.2">
      <c r="A899" s="9"/>
      <c r="B899" s="9"/>
      <c r="C899" s="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 x14ac:dyDescent="0.2">
      <c r="A900" s="9"/>
      <c r="B900" s="9"/>
      <c r="C900" s="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 x14ac:dyDescent="0.2">
      <c r="A901" s="9"/>
      <c r="B901" s="9"/>
      <c r="C901" s="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 x14ac:dyDescent="0.2">
      <c r="A902" s="9"/>
      <c r="B902" s="9"/>
      <c r="C902" s="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 x14ac:dyDescent="0.2">
      <c r="A903" s="9"/>
      <c r="B903" s="9"/>
      <c r="C903" s="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 x14ac:dyDescent="0.2">
      <c r="A904" s="9"/>
      <c r="B904" s="9"/>
      <c r="C904" s="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 x14ac:dyDescent="0.2">
      <c r="A905" s="9"/>
      <c r="B905" s="9"/>
      <c r="C905" s="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 x14ac:dyDescent="0.2">
      <c r="A906" s="9"/>
      <c r="B906" s="9"/>
      <c r="C906" s="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 x14ac:dyDescent="0.2">
      <c r="A907" s="9"/>
      <c r="B907" s="9"/>
      <c r="C907" s="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 x14ac:dyDescent="0.2">
      <c r="A908" s="9"/>
      <c r="B908" s="9"/>
      <c r="C908" s="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 x14ac:dyDescent="0.2">
      <c r="A909" s="9"/>
      <c r="B909" s="9"/>
      <c r="C909" s="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 x14ac:dyDescent="0.2">
      <c r="A910" s="9"/>
      <c r="B910" s="9"/>
      <c r="C910" s="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 x14ac:dyDescent="0.2">
      <c r="A911" s="9"/>
      <c r="B911" s="9"/>
      <c r="C911" s="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 x14ac:dyDescent="0.2">
      <c r="A912" s="9"/>
      <c r="B912" s="9"/>
      <c r="C912" s="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 x14ac:dyDescent="0.2">
      <c r="A913" s="9"/>
      <c r="B913" s="9"/>
      <c r="C913" s="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 x14ac:dyDescent="0.2">
      <c r="A914" s="9"/>
      <c r="B914" s="9"/>
      <c r="C914" s="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 x14ac:dyDescent="0.2">
      <c r="A915" s="9"/>
      <c r="B915" s="9"/>
      <c r="C915" s="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 x14ac:dyDescent="0.2">
      <c r="A916" s="9"/>
      <c r="B916" s="9"/>
      <c r="C916" s="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 x14ac:dyDescent="0.2">
      <c r="A917" s="9"/>
      <c r="B917" s="9"/>
      <c r="C917" s="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 x14ac:dyDescent="0.2">
      <c r="A918" s="9"/>
      <c r="B918" s="9"/>
      <c r="C918" s="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 x14ac:dyDescent="0.2">
      <c r="A919" s="9"/>
      <c r="B919" s="9"/>
      <c r="C919" s="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 x14ac:dyDescent="0.2">
      <c r="A920" s="9"/>
      <c r="B920" s="9"/>
      <c r="C920" s="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 x14ac:dyDescent="0.2">
      <c r="A921" s="9"/>
      <c r="B921" s="9"/>
      <c r="C921" s="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 x14ac:dyDescent="0.2">
      <c r="A922" s="9"/>
      <c r="B922" s="9"/>
      <c r="C922" s="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 x14ac:dyDescent="0.2">
      <c r="A923" s="9"/>
      <c r="B923" s="9"/>
      <c r="C923" s="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 x14ac:dyDescent="0.2">
      <c r="A924" s="9"/>
      <c r="B924" s="9"/>
      <c r="C924" s="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 x14ac:dyDescent="0.2">
      <c r="A925" s="9"/>
      <c r="B925" s="9"/>
      <c r="C925" s="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 x14ac:dyDescent="0.2">
      <c r="A926" s="9"/>
      <c r="B926" s="9"/>
      <c r="C926" s="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 x14ac:dyDescent="0.2">
      <c r="A927" s="9"/>
      <c r="B927" s="9"/>
      <c r="C927" s="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 x14ac:dyDescent="0.2">
      <c r="A928" s="9"/>
      <c r="B928" s="9"/>
      <c r="C928" s="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 x14ac:dyDescent="0.2">
      <c r="A929" s="9"/>
      <c r="B929" s="9"/>
      <c r="C929" s="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 x14ac:dyDescent="0.2">
      <c r="A930" s="9"/>
      <c r="B930" s="9"/>
      <c r="C930" s="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 x14ac:dyDescent="0.2">
      <c r="A931" s="9"/>
      <c r="B931" s="9"/>
      <c r="C931" s="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 x14ac:dyDescent="0.2">
      <c r="A932" s="9"/>
      <c r="B932" s="9"/>
      <c r="C932" s="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 x14ac:dyDescent="0.2">
      <c r="A933" s="9"/>
      <c r="B933" s="9"/>
      <c r="C933" s="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 x14ac:dyDescent="0.2">
      <c r="A934" s="9"/>
      <c r="B934" s="9"/>
      <c r="C934" s="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 x14ac:dyDescent="0.2">
      <c r="A935" s="9"/>
      <c r="B935" s="9"/>
      <c r="C935" s="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 x14ac:dyDescent="0.2">
      <c r="A936" s="9"/>
      <c r="B936" s="9"/>
      <c r="C936" s="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 x14ac:dyDescent="0.2">
      <c r="A937" s="9"/>
      <c r="B937" s="9"/>
      <c r="C937" s="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 x14ac:dyDescent="0.2">
      <c r="A938" s="9"/>
      <c r="B938" s="9"/>
      <c r="C938" s="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 x14ac:dyDescent="0.2">
      <c r="A939" s="9"/>
      <c r="B939" s="9"/>
      <c r="C939" s="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 x14ac:dyDescent="0.2">
      <c r="A940" s="9"/>
      <c r="B940" s="9"/>
      <c r="C940" s="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 x14ac:dyDescent="0.2">
      <c r="A941" s="9"/>
      <c r="B941" s="9"/>
      <c r="C941" s="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 x14ac:dyDescent="0.2">
      <c r="A942" s="9"/>
      <c r="B942" s="9"/>
      <c r="C942" s="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 x14ac:dyDescent="0.2">
      <c r="A943" s="9"/>
      <c r="B943" s="9"/>
      <c r="C943" s="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 x14ac:dyDescent="0.2">
      <c r="A944" s="9"/>
      <c r="B944" s="9"/>
      <c r="C944" s="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 x14ac:dyDescent="0.2">
      <c r="A945" s="9"/>
      <c r="B945" s="9"/>
      <c r="C945" s="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 x14ac:dyDescent="0.2">
      <c r="A946" s="9"/>
      <c r="B946" s="9"/>
      <c r="C946" s="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 x14ac:dyDescent="0.2">
      <c r="A947" s="9"/>
      <c r="B947" s="9"/>
      <c r="C947" s="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 x14ac:dyDescent="0.2">
      <c r="A948" s="9"/>
      <c r="B948" s="9"/>
      <c r="C948" s="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 x14ac:dyDescent="0.2">
      <c r="A949" s="9"/>
      <c r="B949" s="9"/>
      <c r="C949" s="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 x14ac:dyDescent="0.2">
      <c r="A950" s="9"/>
      <c r="B950" s="9"/>
      <c r="C950" s="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 x14ac:dyDescent="0.2">
      <c r="A951" s="9"/>
      <c r="B951" s="9"/>
      <c r="C951" s="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 x14ac:dyDescent="0.2">
      <c r="A952" s="9"/>
      <c r="B952" s="9"/>
      <c r="C952" s="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 x14ac:dyDescent="0.2">
      <c r="A953" s="9"/>
      <c r="B953" s="9"/>
      <c r="C953" s="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 x14ac:dyDescent="0.2">
      <c r="A954" s="9"/>
      <c r="B954" s="9"/>
      <c r="C954" s="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 x14ac:dyDescent="0.2">
      <c r="A955" s="9"/>
      <c r="B955" s="9"/>
      <c r="C955" s="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 x14ac:dyDescent="0.2">
      <c r="A956" s="9"/>
      <c r="B956" s="9"/>
      <c r="C956" s="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 x14ac:dyDescent="0.2">
      <c r="A957" s="9"/>
      <c r="B957" s="9"/>
      <c r="C957" s="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 x14ac:dyDescent="0.2">
      <c r="A958" s="9"/>
      <c r="B958" s="9"/>
      <c r="C958" s="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 x14ac:dyDescent="0.2">
      <c r="A959" s="9"/>
      <c r="B959" s="9"/>
      <c r="C959" s="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 x14ac:dyDescent="0.2">
      <c r="A960" s="9"/>
      <c r="B960" s="9"/>
      <c r="C960" s="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 x14ac:dyDescent="0.2">
      <c r="A961" s="9"/>
      <c r="B961" s="9"/>
      <c r="C961" s="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 x14ac:dyDescent="0.2">
      <c r="A962" s="9"/>
      <c r="B962" s="9"/>
      <c r="C962" s="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 x14ac:dyDescent="0.2">
      <c r="A963" s="9"/>
      <c r="B963" s="9"/>
      <c r="C963" s="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 x14ac:dyDescent="0.2">
      <c r="A964" s="9"/>
      <c r="B964" s="9"/>
      <c r="C964" s="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 x14ac:dyDescent="0.2">
      <c r="A965" s="9"/>
      <c r="B965" s="9"/>
      <c r="C965" s="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 x14ac:dyDescent="0.2">
      <c r="A966" s="9"/>
      <c r="B966" s="9"/>
      <c r="C966" s="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 x14ac:dyDescent="0.2">
      <c r="A967" s="9"/>
      <c r="B967" s="9"/>
      <c r="C967" s="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 x14ac:dyDescent="0.2">
      <c r="A968" s="9"/>
      <c r="B968" s="9"/>
      <c r="C968" s="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 x14ac:dyDescent="0.2">
      <c r="A969" s="9"/>
      <c r="B969" s="9"/>
      <c r="C969" s="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 x14ac:dyDescent="0.2">
      <c r="A970" s="9"/>
      <c r="B970" s="9"/>
      <c r="C970" s="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 x14ac:dyDescent="0.2">
      <c r="A971" s="9"/>
      <c r="B971" s="9"/>
      <c r="C971" s="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 x14ac:dyDescent="0.2">
      <c r="A972" s="9"/>
      <c r="B972" s="9"/>
      <c r="C972" s="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 x14ac:dyDescent="0.2">
      <c r="A973" s="9"/>
      <c r="B973" s="9"/>
      <c r="C973" s="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 x14ac:dyDescent="0.2">
      <c r="A974" s="9"/>
      <c r="B974" s="9"/>
      <c r="C974" s="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 x14ac:dyDescent="0.2">
      <c r="A975" s="9"/>
      <c r="B975" s="9"/>
      <c r="C975" s="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 x14ac:dyDescent="0.2">
      <c r="A976" s="9"/>
      <c r="B976" s="9"/>
      <c r="C976" s="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 customHeight="1" x14ac:dyDescent="0.2">
      <c r="A977" s="9"/>
      <c r="B977" s="9"/>
      <c r="C977" s="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 customHeight="1" x14ac:dyDescent="0.2">
      <c r="A978" s="9"/>
      <c r="B978" s="9"/>
      <c r="C978" s="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 customHeight="1" x14ac:dyDescent="0.2">
      <c r="A979" s="9"/>
      <c r="B979" s="9"/>
      <c r="C979" s="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customHeight="1" x14ac:dyDescent="0.2">
      <c r="A980" s="9"/>
      <c r="B980" s="9"/>
      <c r="C980" s="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 customHeight="1" x14ac:dyDescent="0.2">
      <c r="A981" s="9"/>
      <c r="B981" s="9"/>
      <c r="C981" s="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 customHeight="1" x14ac:dyDescent="0.2">
      <c r="A982" s="9"/>
      <c r="B982" s="9"/>
      <c r="C982" s="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 customHeight="1" x14ac:dyDescent="0.2">
      <c r="A983" s="9"/>
      <c r="B983" s="9"/>
      <c r="C983" s="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 customHeight="1" x14ac:dyDescent="0.2">
      <c r="A984" s="9"/>
      <c r="B984" s="9"/>
      <c r="C984" s="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 customHeight="1" x14ac:dyDescent="0.2">
      <c r="A985" s="9"/>
      <c r="B985" s="9"/>
      <c r="C985" s="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 customHeight="1" x14ac:dyDescent="0.2">
      <c r="A986" s="9"/>
      <c r="B986" s="9"/>
      <c r="C986" s="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customHeight="1" x14ac:dyDescent="0.2">
      <c r="A987" s="9"/>
      <c r="B987" s="9"/>
      <c r="C987" s="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 customHeight="1" x14ac:dyDescent="0.2">
      <c r="A988" s="9"/>
      <c r="B988" s="9"/>
      <c r="C988" s="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 customHeight="1" x14ac:dyDescent="0.2">
      <c r="A989" s="9"/>
      <c r="B989" s="9"/>
      <c r="C989" s="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 customHeight="1" x14ac:dyDescent="0.2">
      <c r="A990" s="9"/>
      <c r="B990" s="9"/>
      <c r="C990" s="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 customHeight="1" x14ac:dyDescent="0.2">
      <c r="A991" s="9"/>
      <c r="B991" s="9"/>
      <c r="C991" s="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 customHeight="1" x14ac:dyDescent="0.2">
      <c r="A992" s="9"/>
      <c r="B992" s="9"/>
      <c r="C992" s="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 customHeight="1" x14ac:dyDescent="0.2">
      <c r="A993" s="9"/>
      <c r="B993" s="9"/>
      <c r="C993" s="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 customHeight="1" x14ac:dyDescent="0.2">
      <c r="A994" s="9"/>
      <c r="B994" s="9"/>
      <c r="C994" s="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 customHeight="1" x14ac:dyDescent="0.2">
      <c r="A995" s="9"/>
      <c r="B995" s="9"/>
      <c r="C995" s="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 customHeight="1" x14ac:dyDescent="0.2">
      <c r="A996" s="9"/>
      <c r="B996" s="9"/>
      <c r="C996" s="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3"/>
  <sheetViews>
    <sheetView showGridLines="0" workbookViewId="0">
      <selection activeCell="B5" sqref="B5"/>
    </sheetView>
  </sheetViews>
  <sheetFormatPr baseColWidth="10" defaultColWidth="14.5" defaultRowHeight="15" customHeight="1" x14ac:dyDescent="0.2"/>
  <sheetData>
    <row r="1" spans="1:4" x14ac:dyDescent="0.2">
      <c r="A1" s="12"/>
      <c r="B1" s="13" t="s">
        <v>24</v>
      </c>
      <c r="C1" s="14"/>
      <c r="D1" s="15"/>
    </row>
    <row r="2" spans="1:4" x14ac:dyDescent="0.2">
      <c r="A2" s="13" t="s">
        <v>0</v>
      </c>
      <c r="B2" s="12" t="s">
        <v>8</v>
      </c>
      <c r="C2" s="16" t="s">
        <v>9</v>
      </c>
      <c r="D2" s="17" t="s">
        <v>10</v>
      </c>
    </row>
    <row r="3" spans="1:4" x14ac:dyDescent="0.2">
      <c r="A3" s="12">
        <v>2025</v>
      </c>
      <c r="B3" s="37">
        <v>66310421.510000005</v>
      </c>
      <c r="C3" s="38">
        <v>374104154.41999996</v>
      </c>
      <c r="D3" s="39">
        <v>258948103.90000001</v>
      </c>
    </row>
    <row r="4" spans="1:4" x14ac:dyDescent="0.2">
      <c r="A4" s="18">
        <v>2026</v>
      </c>
      <c r="B4" s="40">
        <v>71182530.219999999</v>
      </c>
      <c r="C4" s="41">
        <v>395811939.23000002</v>
      </c>
      <c r="D4" s="42">
        <v>280774874.56</v>
      </c>
    </row>
    <row r="5" spans="1:4" x14ac:dyDescent="0.2">
      <c r="A5" s="18">
        <v>2027</v>
      </c>
      <c r="B5" s="40">
        <v>75344380.109999999</v>
      </c>
      <c r="C5" s="41">
        <v>421606089.47999996</v>
      </c>
      <c r="D5" s="42">
        <v>296235521.94</v>
      </c>
    </row>
    <row r="6" spans="1:4" x14ac:dyDescent="0.2">
      <c r="A6" s="18">
        <v>2028</v>
      </c>
      <c r="B6" s="40">
        <v>78823051.170000002</v>
      </c>
      <c r="C6" s="41">
        <v>444087476.5</v>
      </c>
      <c r="D6" s="42">
        <v>308489045.35000002</v>
      </c>
    </row>
    <row r="7" spans="1:4" x14ac:dyDescent="0.2">
      <c r="A7" s="18">
        <v>2029</v>
      </c>
      <c r="B7" s="40">
        <v>81675037.120000005</v>
      </c>
      <c r="C7" s="41">
        <v>462751828.04000002</v>
      </c>
      <c r="D7" s="42">
        <v>318392473.5</v>
      </c>
    </row>
    <row r="8" spans="1:4" x14ac:dyDescent="0.2">
      <c r="A8" s="18">
        <v>2030</v>
      </c>
      <c r="B8" s="40">
        <v>83978061.959999993</v>
      </c>
      <c r="C8" s="41">
        <v>477971164.25999999</v>
      </c>
      <c r="D8" s="42">
        <v>326318929.14999998</v>
      </c>
    </row>
    <row r="9" spans="1:4" x14ac:dyDescent="0.2">
      <c r="A9" s="18">
        <v>2031</v>
      </c>
      <c r="B9" s="40">
        <v>85815710.609999999</v>
      </c>
      <c r="C9" s="41">
        <v>490212552.45000005</v>
      </c>
      <c r="D9" s="42">
        <v>332597902.17000002</v>
      </c>
    </row>
    <row r="10" spans="1:4" x14ac:dyDescent="0.2">
      <c r="A10" s="18">
        <v>2032</v>
      </c>
      <c r="B10" s="40">
        <v>87268351.75</v>
      </c>
      <c r="C10" s="41">
        <v>499950826.40999997</v>
      </c>
      <c r="D10" s="42">
        <v>337532317.63</v>
      </c>
    </row>
    <row r="11" spans="1:4" x14ac:dyDescent="0.2">
      <c r="A11" s="18">
        <v>2033</v>
      </c>
      <c r="B11" s="40">
        <v>88408295.739999995</v>
      </c>
      <c r="C11" s="41">
        <v>507630933.40999997</v>
      </c>
      <c r="D11" s="42">
        <v>341386541</v>
      </c>
    </row>
    <row r="12" spans="1:4" x14ac:dyDescent="0.2">
      <c r="A12" s="18">
        <v>2034</v>
      </c>
      <c r="B12" s="40">
        <v>89297802.120000005</v>
      </c>
      <c r="C12" s="41">
        <v>513647043.86000001</v>
      </c>
      <c r="D12" s="42">
        <v>344383013.19999999</v>
      </c>
    </row>
    <row r="13" spans="1:4" ht="15" customHeight="1" x14ac:dyDescent="0.2">
      <c r="A13" s="22" t="s">
        <v>11</v>
      </c>
      <c r="B13" s="46">
        <v>808103642.31000006</v>
      </c>
      <c r="C13" s="47">
        <v>4587774008.0599995</v>
      </c>
      <c r="D13" s="48">
        <v>3145058722.4000001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4"/>
  <sheetViews>
    <sheetView showGridLines="0" zoomScale="120" zoomScaleNormal="120" workbookViewId="0">
      <selection activeCell="F14" sqref="A4:F14"/>
    </sheetView>
  </sheetViews>
  <sheetFormatPr baseColWidth="10" defaultColWidth="14.5" defaultRowHeight="15" customHeight="1" x14ac:dyDescent="0.2"/>
  <cols>
    <col min="1" max="1" width="12.33203125" customWidth="1"/>
    <col min="2" max="3" width="10.6640625" customWidth="1"/>
    <col min="4" max="5" width="11.6640625" customWidth="1"/>
    <col min="6" max="6" width="10.6640625" customWidth="1"/>
    <col min="7" max="7" width="15.5" customWidth="1"/>
  </cols>
  <sheetData>
    <row r="1" spans="1:6" x14ac:dyDescent="0.2">
      <c r="A1" s="20" t="s">
        <v>6</v>
      </c>
      <c r="B1" s="21">
        <v>4</v>
      </c>
    </row>
    <row r="2" spans="1:6" x14ac:dyDescent="0.2"/>
    <row r="3" spans="1:6" x14ac:dyDescent="0.2">
      <c r="A3" s="12"/>
      <c r="B3" s="13" t="s">
        <v>24</v>
      </c>
      <c r="C3" s="14"/>
      <c r="D3" s="14"/>
      <c r="E3" s="14"/>
      <c r="F3" s="15"/>
    </row>
    <row r="4" spans="1:6" x14ac:dyDescent="0.2">
      <c r="A4" s="13" t="s">
        <v>0</v>
      </c>
      <c r="B4" s="12" t="s">
        <v>1</v>
      </c>
      <c r="C4" s="16" t="s">
        <v>2</v>
      </c>
      <c r="D4" s="16" t="s">
        <v>3</v>
      </c>
      <c r="E4" s="16" t="s">
        <v>4</v>
      </c>
      <c r="F4" s="17" t="s">
        <v>5</v>
      </c>
    </row>
    <row r="5" spans="1:6" x14ac:dyDescent="0.2">
      <c r="A5" s="12">
        <v>2025</v>
      </c>
      <c r="B5" s="37">
        <v>7732511</v>
      </c>
      <c r="C5" s="38">
        <v>3672947</v>
      </c>
      <c r="D5" s="38">
        <v>7757407</v>
      </c>
      <c r="E5" s="38">
        <v>21562723</v>
      </c>
      <c r="F5" s="39">
        <v>2794452</v>
      </c>
    </row>
    <row r="6" spans="1:6" x14ac:dyDescent="0.2">
      <c r="A6" s="18">
        <v>2026</v>
      </c>
      <c r="B6" s="40">
        <v>7632521</v>
      </c>
      <c r="C6" s="41">
        <v>3615425</v>
      </c>
      <c r="D6" s="41">
        <v>8723345</v>
      </c>
      <c r="E6" s="41">
        <v>23031915</v>
      </c>
      <c r="F6" s="42">
        <v>2980847</v>
      </c>
    </row>
    <row r="7" spans="1:6" x14ac:dyDescent="0.2">
      <c r="A7" s="18">
        <v>2027</v>
      </c>
      <c r="B7" s="40">
        <v>7675394</v>
      </c>
      <c r="C7" s="41">
        <v>3611195</v>
      </c>
      <c r="D7" s="41">
        <v>8906166</v>
      </c>
      <c r="E7" s="41">
        <v>24442953</v>
      </c>
      <c r="F7" s="42">
        <v>3103030</v>
      </c>
    </row>
    <row r="8" spans="1:6" x14ac:dyDescent="0.2">
      <c r="A8" s="18">
        <v>2028</v>
      </c>
      <c r="B8" s="40">
        <v>7705351</v>
      </c>
      <c r="C8" s="41">
        <v>3623490</v>
      </c>
      <c r="D8" s="41">
        <v>8967337</v>
      </c>
      <c r="E8" s="41">
        <v>25635531</v>
      </c>
      <c r="F8" s="42">
        <v>3199459</v>
      </c>
    </row>
    <row r="9" spans="1:6" x14ac:dyDescent="0.2">
      <c r="A9" s="18">
        <v>2029</v>
      </c>
      <c r="B9" s="40">
        <v>7716020</v>
      </c>
      <c r="C9" s="41">
        <v>3628216</v>
      </c>
      <c r="D9" s="41">
        <v>8992047</v>
      </c>
      <c r="E9" s="41">
        <v>26617520</v>
      </c>
      <c r="F9" s="42">
        <v>3275770</v>
      </c>
    </row>
    <row r="10" spans="1:6" x14ac:dyDescent="0.2">
      <c r="A10" s="18">
        <v>2030</v>
      </c>
      <c r="B10" s="40">
        <v>7715890</v>
      </c>
      <c r="C10" s="41">
        <v>3627026</v>
      </c>
      <c r="D10" s="41">
        <v>8995996</v>
      </c>
      <c r="E10" s="41">
        <v>27413618</v>
      </c>
      <c r="F10" s="42">
        <v>3335557</v>
      </c>
    </row>
    <row r="11" spans="1:6" x14ac:dyDescent="0.2">
      <c r="A11" s="18">
        <v>2031</v>
      </c>
      <c r="B11" s="40">
        <v>7710509</v>
      </c>
      <c r="C11" s="41">
        <v>3622945</v>
      </c>
      <c r="D11" s="41">
        <v>8988675</v>
      </c>
      <c r="E11" s="41">
        <v>28050921</v>
      </c>
      <c r="F11" s="42">
        <v>3382088</v>
      </c>
    </row>
    <row r="12" spans="1:6" ht="15" customHeight="1" x14ac:dyDescent="0.2">
      <c r="A12" s="18">
        <v>2032</v>
      </c>
      <c r="B12" s="40">
        <v>7703070</v>
      </c>
      <c r="C12" s="41">
        <v>3617817</v>
      </c>
      <c r="D12" s="41">
        <v>8976295</v>
      </c>
      <c r="E12" s="41">
        <v>28556011</v>
      </c>
      <c r="F12" s="42">
        <v>3418141</v>
      </c>
    </row>
    <row r="13" spans="1:6" ht="15" customHeight="1" x14ac:dyDescent="0.2">
      <c r="A13" s="18">
        <v>2033</v>
      </c>
      <c r="B13" s="40">
        <v>7695318</v>
      </c>
      <c r="C13" s="41">
        <v>3612644</v>
      </c>
      <c r="D13" s="41">
        <v>8962512</v>
      </c>
      <c r="E13" s="41">
        <v>28953182</v>
      </c>
      <c r="F13" s="42">
        <v>3445986</v>
      </c>
    </row>
    <row r="14" spans="1:6" ht="15" customHeight="1" x14ac:dyDescent="0.2">
      <c r="A14" s="19">
        <v>2034</v>
      </c>
      <c r="B14" s="43">
        <v>7688129</v>
      </c>
      <c r="C14" s="44">
        <v>3607918</v>
      </c>
      <c r="D14" s="44">
        <v>8949278</v>
      </c>
      <c r="E14" s="44">
        <v>29263591</v>
      </c>
      <c r="F14" s="45">
        <v>3467442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26"/>
  <sheetViews>
    <sheetView topLeftCell="A5" zoomScaleNormal="100" workbookViewId="0">
      <selection activeCell="M16" sqref="M16"/>
    </sheetView>
  </sheetViews>
  <sheetFormatPr baseColWidth="10" defaultColWidth="14.5" defaultRowHeight="15" customHeight="1" x14ac:dyDescent="0.2"/>
  <cols>
    <col min="2" max="6" width="15.1640625" customWidth="1"/>
    <col min="7" max="8" width="16" customWidth="1"/>
  </cols>
  <sheetData>
    <row r="1" spans="1:24" ht="15" customHeight="1" x14ac:dyDescent="0.2">
      <c r="C1" s="35" t="s">
        <v>27</v>
      </c>
      <c r="D1" s="36"/>
      <c r="E1" s="35" t="s">
        <v>28</v>
      </c>
      <c r="F1" s="35"/>
      <c r="G1" s="35" t="s">
        <v>29</v>
      </c>
      <c r="H1" s="35"/>
      <c r="I1" s="31" t="s">
        <v>30</v>
      </c>
    </row>
    <row r="2" spans="1:24" x14ac:dyDescent="0.2">
      <c r="A2" s="1" t="s">
        <v>22</v>
      </c>
      <c r="B2" s="1" t="s">
        <v>23</v>
      </c>
      <c r="C2" s="30" t="s">
        <v>25</v>
      </c>
      <c r="D2" s="30" t="s">
        <v>26</v>
      </c>
      <c r="E2" s="30" t="s">
        <v>25</v>
      </c>
      <c r="F2" s="30" t="s">
        <v>26</v>
      </c>
      <c r="G2" s="30" t="s">
        <v>25</v>
      </c>
      <c r="H2" s="30" t="s">
        <v>26</v>
      </c>
      <c r="I2" s="1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10">
        <v>2018</v>
      </c>
      <c r="B3" s="10">
        <v>2018</v>
      </c>
      <c r="C3" s="3">
        <v>25876113</v>
      </c>
      <c r="D3" s="3"/>
      <c r="E3" s="3">
        <v>255034964.80000001</v>
      </c>
      <c r="F3" s="3"/>
      <c r="G3" s="3">
        <v>42794549</v>
      </c>
      <c r="H3" s="8"/>
      <c r="I3" s="8"/>
    </row>
    <row r="4" spans="1:24" x14ac:dyDescent="0.2">
      <c r="A4" s="10">
        <v>2019</v>
      </c>
      <c r="B4" s="10">
        <v>2019</v>
      </c>
      <c r="C4" s="3">
        <v>34657969</v>
      </c>
      <c r="D4" s="3"/>
      <c r="E4" s="3">
        <v>341588931.19999999</v>
      </c>
      <c r="F4" s="3"/>
      <c r="G4" s="3">
        <v>57318205</v>
      </c>
      <c r="H4" s="8"/>
      <c r="I4" s="8"/>
    </row>
    <row r="5" spans="1:24" x14ac:dyDescent="0.2">
      <c r="A5" s="10">
        <v>2020</v>
      </c>
      <c r="B5" s="10">
        <v>2020</v>
      </c>
      <c r="C5" s="3">
        <v>35358674</v>
      </c>
      <c r="D5" s="3"/>
      <c r="E5" s="3">
        <v>348495083.19999999</v>
      </c>
      <c r="F5" s="3"/>
      <c r="G5" s="3">
        <v>58477046</v>
      </c>
      <c r="H5" s="8"/>
      <c r="I5" s="8"/>
    </row>
    <row r="6" spans="1:24" x14ac:dyDescent="0.2">
      <c r="A6" s="10">
        <v>2021</v>
      </c>
      <c r="B6" s="10">
        <v>2021</v>
      </c>
      <c r="C6" s="3">
        <v>33123213</v>
      </c>
      <c r="D6" s="3"/>
      <c r="E6" s="3">
        <v>326462382.39999998</v>
      </c>
      <c r="F6" s="3"/>
      <c r="G6" s="3">
        <v>54779982</v>
      </c>
      <c r="H6" s="8"/>
      <c r="I6" s="8"/>
      <c r="O6" s="8"/>
      <c r="P6" s="8"/>
      <c r="Q6" s="8"/>
    </row>
    <row r="7" spans="1:24" x14ac:dyDescent="0.2">
      <c r="A7" s="10">
        <v>2022</v>
      </c>
      <c r="B7" s="10">
        <v>2022</v>
      </c>
      <c r="C7" s="3">
        <v>29965055</v>
      </c>
      <c r="D7" s="3"/>
      <c r="E7" s="3">
        <v>295335568</v>
      </c>
      <c r="F7" s="3"/>
      <c r="G7" s="3">
        <v>49556946</v>
      </c>
      <c r="H7" s="8"/>
      <c r="I7" s="8"/>
      <c r="O7" s="8"/>
      <c r="P7" s="8"/>
      <c r="Q7" s="8"/>
      <c r="R7" s="1"/>
      <c r="S7" s="1"/>
      <c r="T7" s="1"/>
      <c r="U7" s="1"/>
      <c r="V7" s="1"/>
      <c r="W7" s="1"/>
    </row>
    <row r="8" spans="1:24" x14ac:dyDescent="0.2">
      <c r="A8" s="10">
        <v>2023</v>
      </c>
      <c r="B8" s="10">
        <v>2023</v>
      </c>
      <c r="C8" s="3">
        <v>34385998</v>
      </c>
      <c r="D8" s="3"/>
      <c r="E8" s="3">
        <v>338908380.80000001</v>
      </c>
      <c r="F8" s="3"/>
      <c r="G8" s="3">
        <v>56868405</v>
      </c>
      <c r="H8" s="3"/>
      <c r="I8" s="8"/>
      <c r="O8" s="8"/>
      <c r="P8" s="8"/>
      <c r="Q8" s="8"/>
      <c r="R8" s="8"/>
      <c r="S8" s="8"/>
      <c r="T8" s="8"/>
      <c r="U8" s="8"/>
      <c r="V8" s="8"/>
      <c r="W8" s="8"/>
    </row>
    <row r="9" spans="1:24" x14ac:dyDescent="0.2">
      <c r="A9" s="9">
        <v>2024</v>
      </c>
      <c r="B9" s="9">
        <v>2024</v>
      </c>
      <c r="C9" s="3">
        <v>37776633</v>
      </c>
      <c r="D9" s="3">
        <v>37776633</v>
      </c>
      <c r="E9" s="3">
        <v>372326486.39999998</v>
      </c>
      <c r="F9" s="3">
        <v>372326486.39999998</v>
      </c>
      <c r="G9" s="3">
        <v>62475921</v>
      </c>
      <c r="H9" s="3">
        <v>62475921</v>
      </c>
      <c r="I9" s="8"/>
      <c r="O9" s="8"/>
      <c r="P9" s="8"/>
      <c r="Q9" s="8"/>
      <c r="R9" s="8"/>
      <c r="S9" s="8"/>
      <c r="T9" s="8"/>
      <c r="U9" s="8"/>
      <c r="V9" s="8"/>
      <c r="W9" s="8"/>
    </row>
    <row r="10" spans="1:24" x14ac:dyDescent="0.2">
      <c r="A10" s="9">
        <v>2025</v>
      </c>
      <c r="B10" s="11" t="s">
        <v>12</v>
      </c>
      <c r="C10" s="8"/>
      <c r="D10" s="8">
        <v>42443343</v>
      </c>
      <c r="E10" s="8"/>
      <c r="F10" s="8">
        <v>374104154</v>
      </c>
      <c r="G10" s="8"/>
      <c r="H10" s="8">
        <v>66310422</v>
      </c>
      <c r="I10" s="8">
        <v>258948104</v>
      </c>
      <c r="O10" s="8"/>
      <c r="P10" s="8"/>
      <c r="Q10" s="8"/>
      <c r="R10" s="8"/>
      <c r="S10" s="8"/>
      <c r="T10" s="8"/>
      <c r="U10" s="8"/>
      <c r="V10" s="8"/>
      <c r="W10" s="8"/>
    </row>
    <row r="11" spans="1:24" x14ac:dyDescent="0.2">
      <c r="A11" s="9">
        <v>2026</v>
      </c>
      <c r="B11" s="11" t="s">
        <v>13</v>
      </c>
      <c r="C11" s="8"/>
      <c r="D11" s="8">
        <v>45306262</v>
      </c>
      <c r="E11" s="8"/>
      <c r="F11" s="8">
        <v>395471512</v>
      </c>
      <c r="G11" s="8"/>
      <c r="H11" s="8">
        <v>71182529</v>
      </c>
      <c r="I11" s="8">
        <v>280774875</v>
      </c>
      <c r="O11" s="8"/>
      <c r="P11" s="8"/>
      <c r="Q11" s="8"/>
      <c r="R11" s="8"/>
      <c r="S11" s="8"/>
      <c r="T11" s="8"/>
      <c r="U11" s="8"/>
      <c r="V11" s="8"/>
      <c r="W11" s="8"/>
    </row>
    <row r="12" spans="1:24" x14ac:dyDescent="0.2">
      <c r="A12" s="9">
        <v>2027</v>
      </c>
      <c r="B12" s="11" t="s">
        <v>14</v>
      </c>
      <c r="C12" s="8"/>
      <c r="D12" s="8">
        <v>47173674</v>
      </c>
      <c r="E12" s="8"/>
      <c r="F12" s="8">
        <v>422000000</v>
      </c>
      <c r="G12" s="8"/>
      <c r="H12" s="8">
        <v>75344380</v>
      </c>
      <c r="I12" s="8">
        <v>296235522</v>
      </c>
      <c r="O12" s="8"/>
      <c r="P12" s="8"/>
      <c r="Q12" s="8"/>
      <c r="R12" s="8"/>
      <c r="S12" s="8"/>
      <c r="T12" s="8"/>
      <c r="U12" s="8"/>
      <c r="V12" s="8"/>
      <c r="W12" s="8"/>
    </row>
    <row r="13" spans="1:24" x14ac:dyDescent="0.2">
      <c r="A13" s="9">
        <v>2028</v>
      </c>
      <c r="B13" s="11" t="s">
        <v>15</v>
      </c>
      <c r="C13" s="8"/>
      <c r="D13" s="8">
        <v>48646657</v>
      </c>
      <c r="E13" s="8"/>
      <c r="F13" s="8">
        <v>445000000</v>
      </c>
      <c r="G13" s="8"/>
      <c r="H13" s="8">
        <v>78823051</v>
      </c>
      <c r="I13" s="8">
        <v>308489044</v>
      </c>
      <c r="O13" s="8"/>
      <c r="P13" s="8"/>
      <c r="Q13" s="8"/>
      <c r="R13" s="8"/>
      <c r="S13" s="8"/>
      <c r="T13" s="8"/>
      <c r="U13" s="8"/>
      <c r="V13" s="8"/>
      <c r="W13" s="8"/>
    </row>
    <row r="14" spans="1:24" x14ac:dyDescent="0.2">
      <c r="A14" s="9">
        <v>2029</v>
      </c>
      <c r="B14" s="11" t="s">
        <v>16</v>
      </c>
      <c r="C14" s="8"/>
      <c r="D14" s="8">
        <v>49812067</v>
      </c>
      <c r="E14" s="8"/>
      <c r="F14" s="8">
        <v>463000000</v>
      </c>
      <c r="G14" s="8"/>
      <c r="H14" s="8">
        <v>81675037</v>
      </c>
      <c r="I14" s="8">
        <v>318392473</v>
      </c>
      <c r="O14" s="8"/>
      <c r="P14" s="8"/>
      <c r="Q14" s="8"/>
    </row>
    <row r="15" spans="1:24" x14ac:dyDescent="0.2">
      <c r="A15" s="9">
        <v>2030</v>
      </c>
      <c r="B15" s="11" t="s">
        <v>17</v>
      </c>
      <c r="C15" s="8"/>
      <c r="D15" s="8">
        <v>50724851</v>
      </c>
      <c r="E15" s="8"/>
      <c r="F15" s="8">
        <v>479000000</v>
      </c>
      <c r="G15" s="8"/>
      <c r="H15" s="8">
        <v>83978062</v>
      </c>
      <c r="I15" s="8">
        <v>326318929</v>
      </c>
      <c r="O15" s="8"/>
      <c r="P15" s="8"/>
      <c r="Q15" s="8"/>
    </row>
    <row r="16" spans="1:24" x14ac:dyDescent="0.2">
      <c r="A16" s="9">
        <v>2031</v>
      </c>
      <c r="B16" s="11" t="s">
        <v>18</v>
      </c>
      <c r="C16" s="8"/>
      <c r="D16" s="8">
        <v>51435054</v>
      </c>
      <c r="E16" s="8"/>
      <c r="F16" s="8">
        <v>490000000</v>
      </c>
      <c r="G16" s="8"/>
      <c r="H16" s="8">
        <v>85815711</v>
      </c>
      <c r="I16" s="8">
        <v>332597901</v>
      </c>
    </row>
    <row r="17" spans="1:18" x14ac:dyDescent="0.2">
      <c r="A17" s="9">
        <v>2032</v>
      </c>
      <c r="B17" s="11" t="s">
        <v>19</v>
      </c>
      <c r="C17" s="8"/>
      <c r="D17" s="8">
        <v>51985180</v>
      </c>
      <c r="E17" s="8"/>
      <c r="F17" s="8">
        <v>500000000</v>
      </c>
      <c r="G17" s="8"/>
      <c r="H17" s="8">
        <v>87268352</v>
      </c>
      <c r="I17" s="8">
        <v>337532318</v>
      </c>
      <c r="P17" s="8"/>
      <c r="Q17" s="8"/>
      <c r="R17" s="8"/>
    </row>
    <row r="18" spans="1:18" x14ac:dyDescent="0.2">
      <c r="A18" s="9">
        <v>2033</v>
      </c>
      <c r="B18" s="11" t="s">
        <v>20</v>
      </c>
      <c r="C18" s="8"/>
      <c r="D18" s="8">
        <v>52409972</v>
      </c>
      <c r="E18" s="8"/>
      <c r="F18" s="8">
        <v>507000000</v>
      </c>
      <c r="G18" s="8"/>
      <c r="H18" s="8">
        <v>88408296</v>
      </c>
      <c r="I18" s="8">
        <v>341386540</v>
      </c>
      <c r="P18" s="8"/>
      <c r="Q18" s="8"/>
      <c r="R18" s="8"/>
    </row>
    <row r="19" spans="1:18" x14ac:dyDescent="0.2">
      <c r="A19" s="9">
        <v>2034</v>
      </c>
      <c r="B19" s="11" t="s">
        <v>21</v>
      </c>
      <c r="D19" s="8">
        <v>52737249</v>
      </c>
      <c r="F19" s="8">
        <v>515000000</v>
      </c>
      <c r="H19" s="8">
        <v>89297802</v>
      </c>
      <c r="I19" s="8">
        <v>344383013</v>
      </c>
      <c r="P19" s="8"/>
      <c r="Q19" s="8"/>
      <c r="R19" s="8"/>
    </row>
    <row r="20" spans="1:18" x14ac:dyDescent="0.2">
      <c r="P20" s="8"/>
      <c r="Q20" s="8"/>
      <c r="R20" s="8"/>
    </row>
    <row r="21" spans="1:18" x14ac:dyDescent="0.2">
      <c r="P21" s="8"/>
      <c r="Q21" s="8"/>
      <c r="R21" s="8"/>
    </row>
    <row r="22" spans="1:18" x14ac:dyDescent="0.2">
      <c r="P22" s="8"/>
      <c r="Q22" s="8"/>
      <c r="R22" s="8"/>
    </row>
    <row r="23" spans="1:18" x14ac:dyDescent="0.2">
      <c r="P23" s="8"/>
      <c r="Q23" s="8"/>
      <c r="R23" s="8"/>
    </row>
    <row r="24" spans="1:18" x14ac:dyDescent="0.2">
      <c r="P24" s="8"/>
      <c r="Q24" s="8"/>
      <c r="R24" s="8"/>
    </row>
    <row r="25" spans="1:18" x14ac:dyDescent="0.2">
      <c r="P25" s="8"/>
      <c r="Q25" s="8"/>
      <c r="R25" s="8"/>
    </row>
    <row r="26" spans="1:18" x14ac:dyDescent="0.2">
      <c r="P26" s="8"/>
      <c r="Q26" s="8"/>
      <c r="R26" s="8"/>
    </row>
  </sheetData>
  <mergeCells count="3">
    <mergeCell ref="C1:D1"/>
    <mergeCell ref="E1:F1"/>
    <mergeCell ref="G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4E75-15C8-F64E-8B19-619E4B33EBC4}">
  <sheetPr>
    <outlinePr summaryBelow="0" summaryRight="0"/>
  </sheetPr>
  <dimension ref="A1:F13"/>
  <sheetViews>
    <sheetView showGridLines="0" tabSelected="1" zoomScale="120" zoomScaleNormal="120" workbookViewId="0">
      <selection activeCell="L12" sqref="L12"/>
    </sheetView>
  </sheetViews>
  <sheetFormatPr baseColWidth="10" defaultColWidth="14.5" defaultRowHeight="15" customHeight="1" x14ac:dyDescent="0.2"/>
  <cols>
    <col min="1" max="1" width="12.33203125" customWidth="1"/>
    <col min="2" max="3" width="10.6640625" customWidth="1"/>
    <col min="4" max="5" width="11.6640625" customWidth="1"/>
    <col min="6" max="6" width="10.6640625" customWidth="1"/>
    <col min="7" max="7" width="15.5" customWidth="1"/>
  </cols>
  <sheetData>
    <row r="1" spans="1:6" x14ac:dyDescent="0.2"/>
    <row r="2" spans="1:6" x14ac:dyDescent="0.2"/>
    <row r="3" spans="1:6" x14ac:dyDescent="0.2">
      <c r="A3" s="12" t="s">
        <v>22</v>
      </c>
      <c r="B3" s="12" t="s">
        <v>32</v>
      </c>
      <c r="C3" s="16" t="s">
        <v>33</v>
      </c>
      <c r="D3" s="16" t="s">
        <v>34</v>
      </c>
      <c r="E3" s="16" t="s">
        <v>35</v>
      </c>
      <c r="F3" s="17" t="s">
        <v>36</v>
      </c>
    </row>
    <row r="4" spans="1:6" x14ac:dyDescent="0.2">
      <c r="A4" s="12">
        <v>2025</v>
      </c>
      <c r="B4" s="12">
        <v>7732511</v>
      </c>
      <c r="C4" s="16">
        <v>3672947</v>
      </c>
      <c r="D4" s="16">
        <v>7757407</v>
      </c>
      <c r="E4" s="16">
        <v>21562723</v>
      </c>
      <c r="F4" s="17">
        <v>2794452</v>
      </c>
    </row>
    <row r="5" spans="1:6" x14ac:dyDescent="0.2">
      <c r="A5" s="18">
        <v>2026</v>
      </c>
      <c r="B5" s="18">
        <v>7632521</v>
      </c>
      <c r="C5">
        <v>3615425</v>
      </c>
      <c r="D5">
        <v>8723345</v>
      </c>
      <c r="E5">
        <v>23031915</v>
      </c>
      <c r="F5" s="32">
        <v>2980847</v>
      </c>
    </row>
    <row r="6" spans="1:6" x14ac:dyDescent="0.2">
      <c r="A6" s="18">
        <v>2027</v>
      </c>
      <c r="B6" s="18">
        <v>7675394</v>
      </c>
      <c r="C6">
        <v>3611195</v>
      </c>
      <c r="D6">
        <v>8906166</v>
      </c>
      <c r="E6">
        <v>24442953</v>
      </c>
      <c r="F6" s="32">
        <v>3103030</v>
      </c>
    </row>
    <row r="7" spans="1:6" x14ac:dyDescent="0.2">
      <c r="A7" s="18">
        <v>2028</v>
      </c>
      <c r="B7" s="18">
        <v>7705351</v>
      </c>
      <c r="C7">
        <v>3623490</v>
      </c>
      <c r="D7">
        <v>8967337</v>
      </c>
      <c r="E7">
        <v>25635531</v>
      </c>
      <c r="F7" s="32">
        <v>3199459</v>
      </c>
    </row>
    <row r="8" spans="1:6" x14ac:dyDescent="0.2">
      <c r="A8" s="18">
        <v>2029</v>
      </c>
      <c r="B8" s="18">
        <v>7716020</v>
      </c>
      <c r="C8">
        <v>3628216</v>
      </c>
      <c r="D8">
        <v>8992047</v>
      </c>
      <c r="E8">
        <v>26617520</v>
      </c>
      <c r="F8" s="32">
        <v>3275770</v>
      </c>
    </row>
    <row r="9" spans="1:6" x14ac:dyDescent="0.2">
      <c r="A9" s="18">
        <v>2030</v>
      </c>
      <c r="B9" s="18">
        <v>7715890</v>
      </c>
      <c r="C9">
        <v>3627026</v>
      </c>
      <c r="D9">
        <v>8995996</v>
      </c>
      <c r="E9">
        <v>27413618</v>
      </c>
      <c r="F9" s="32">
        <v>3335557</v>
      </c>
    </row>
    <row r="10" spans="1:6" x14ac:dyDescent="0.2">
      <c r="A10" s="18">
        <v>2031</v>
      </c>
      <c r="B10" s="18">
        <v>7710509</v>
      </c>
      <c r="C10">
        <v>3622945</v>
      </c>
      <c r="D10">
        <v>8988675</v>
      </c>
      <c r="E10">
        <v>28050921</v>
      </c>
      <c r="F10" s="32">
        <v>3382088</v>
      </c>
    </row>
    <row r="11" spans="1:6" ht="15" customHeight="1" x14ac:dyDescent="0.2">
      <c r="A11" s="18">
        <v>2032</v>
      </c>
      <c r="B11" s="18">
        <v>7703070</v>
      </c>
      <c r="C11">
        <v>3617817</v>
      </c>
      <c r="D11">
        <v>8976295</v>
      </c>
      <c r="E11">
        <v>28556011</v>
      </c>
      <c r="F11" s="32">
        <v>3418141</v>
      </c>
    </row>
    <row r="12" spans="1:6" ht="15" customHeight="1" x14ac:dyDescent="0.2">
      <c r="A12" s="18">
        <v>2033</v>
      </c>
      <c r="B12" s="18">
        <v>7695318</v>
      </c>
      <c r="C12">
        <v>3612644</v>
      </c>
      <c r="D12">
        <v>8962512</v>
      </c>
      <c r="E12">
        <v>28953182</v>
      </c>
      <c r="F12" s="32">
        <v>3445986</v>
      </c>
    </row>
    <row r="13" spans="1:6" ht="15" customHeight="1" x14ac:dyDescent="0.2">
      <c r="A13" s="19">
        <v>2034</v>
      </c>
      <c r="B13" s="19">
        <v>7688129</v>
      </c>
      <c r="C13" s="33">
        <v>3607918</v>
      </c>
      <c r="D13" s="33">
        <v>8949278</v>
      </c>
      <c r="E13" s="33">
        <v>29263591</v>
      </c>
      <c r="F13" s="34">
        <v>3467442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Historical_Yearly</vt:lpstr>
      <vt:lpstr>Forecast_Quarterly</vt:lpstr>
      <vt:lpstr>Pivot Table 2</vt:lpstr>
      <vt:lpstr>Pivot Table 1</vt:lpstr>
      <vt:lpstr>Sheet1</vt:lpstr>
      <vt:lpstr>Pivot 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Ogamba</cp:lastModifiedBy>
  <dcterms:modified xsi:type="dcterms:W3CDTF">2026-01-13T12:47:24Z</dcterms:modified>
</cp:coreProperties>
</file>